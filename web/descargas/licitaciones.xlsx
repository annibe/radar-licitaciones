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1216085-67-LE26</t>
        </is>
      </c>
      <c r="B2" s="4" t="inlineStr">
        <is>
          <t xml:space="preserve">Adquis. De licencias de software de reloj control.</t>
        </is>
      </c>
      <c r="C2" s="0" t="inlineStr">
        <is>
          <t xml:space="preserve">Publicada</t>
        </is>
      </c>
      <c r="D2" s="0" t="inlineStr">
        <is>
          <t xml:space="preserve">CORP MUNICIPAL PARA EL DESARROLLO SOCIAL</t>
        </is>
      </c>
      <c r="E2" s="0" t="inlineStr">
        <is>
          <t xml:space="preserve">Adquisiciones</t>
        </is>
      </c>
      <c r="F2" s="0" t="inlineStr">
        <is>
          <t xml:space="preserve">Región de Valparaíso </t>
        </is>
      </c>
      <c r="G2" s="0" t="inlineStr">
        <is>
          <t xml:space="preserve">Villa Alemana</t>
        </is>
      </c>
      <c r="H2" s="2">
        <v>46309.651644</v>
      </c>
      <c r="I2" s="2">
        <v>46315.652778</v>
      </c>
      <c r="J2" s="0">
        <v>5</v>
      </c>
      <c r="K2" s="3">
        <v>33613445.0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Software de gestión de recursos humanos</t>
        </is>
      </c>
      <c r="P2" s="2"/>
      <c r="Q2" s="2"/>
      <c r="R2" s="0" t="inlineStr">
        <is>
          <t xml:space="preserve">24 meses</t>
        </is>
      </c>
      <c r="S2" s="0" t="inlineStr">
        <is>
          <t xml:space="preserve">No</t>
        </is>
      </c>
      <c r="T2" s="4" t="inlineStr">
        <is>
          <t xml:space="preserve">Queda expresamente prohibido al adjudicatario subcontratar, ceder o encomendar a terceros el cumplimiento total o parcial de las obligaciones principales derivadas de la presente contratación.
Sin perjuicio de lo anterior, el adjudicatario podrá recurri</t>
        </is>
      </c>
      <c r="U2" s="0" t="inlineStr">
        <is>
          <t xml:space="preserve">Matias Ignacio Ibaceta Estay</t>
        </is>
      </c>
      <c r="V2" s="4" t="inlineStr">
        <is>
          <t xml:space="preserve">Las presentes Bases Administrativas establecen los requerimientos que regirán la contratación de un Sistema Electrónico de Registro y Control de Asistencia y Determinación de las Horas de Trabajo, destinado a los trabajadores de los establecimientos y dependencias de la Corporación Municipal para el Desarrollo Social de Villa Alemana, con el objeto de disponer de una herramienta que permita efectuar el registro, control, gestión y administración de la asistencia y jornada laboral de manera segura, confiable, íntegra, trazable y oportuna.
La contratación comprenderá la provisión de una licencia de software yo plataforma de administración para el sistema de registro y control de asistencia, incluyendo su habilitación, configuración, implementación, parametrización, integración con los relojes biométricos existentes, capacitación, soporte técnico, mantención, actualización y demás servicios necesarios para asegurar la correcta puesta en marcha, operación y continuidad del sistema durante toda la vigencia de la contratación, de acuerdo con las condiciones y especificaciones establecidas en las Bases Técnicas. La contratación no contempla la adquisición de nuevos relojes biométricos.</t>
        </is>
      </c>
      <c r="W2" s="5" t="str">
        <f>HYPERLINK("https://www.mercadopublico.cl/Procurement/Modules/Attachment/ViewAttachment.aspx?enc=JBDJ80Pc6lrJPB61OJo9wxHjylM64WW0e4Y0AnttikRXW7SqYvJqctcFhWmKQd%2ftCQDndvDXMOwoFpw6vgkf%2bd3xFG6tlO67pTEIEpTiV%2bSPE6AdNDXDIkXGlx778Enpsbbigmct8URgQCr8EcYUHtRzRJtQSxiEP%2baDQPt4BATejnTLy7r5DSfBpPH8Ra6r5KeTkMLzIHiZcmBfOReiT36wWqMfMSL6bTt4%2fPAt3G7DSOZHOCRba6pl01kObSbMAUd%2fOmVSxe3yQZbe7YhHWQ05ecEyDFA%2btgp7It0XkO7iduRGgLZ%2bmI66hZwzaVhX","descargar bases")</f>
      </c>
    </row>
    <row r="3">
      <c r="A3" s="0" t="inlineStr">
        <is>
          <t xml:space="preserve">2933-73-LE26</t>
        </is>
      </c>
      <c r="B3" s="4" t="inlineStr">
        <is>
          <t xml:space="preserve">2DO LLAMADO SISTEMA DE INFORMACION Y GESTIÓN 2026</t>
        </is>
      </c>
      <c r="C3" s="0" t="inlineStr">
        <is>
          <t xml:space="preserve">Publicada</t>
        </is>
      </c>
      <c r="D3" s="0" t="inlineStr">
        <is>
          <t xml:space="preserve">I MUNICIPALIDAD DE ALHUE</t>
        </is>
      </c>
      <c r="E3" s="0" t="inlineStr">
        <is>
          <t xml:space="preserve">DPTO. MUNICIPALIDAD</t>
        </is>
      </c>
      <c r="F3" s="0" t="inlineStr">
        <is>
          <t xml:space="preserve">Región Metropolitana de Santiago</t>
        </is>
      </c>
      <c r="G3" s="0" t="inlineStr">
        <is>
          <t xml:space="preserve">Alhué</t>
        </is>
      </c>
      <c r="H3" s="2">
        <v>46309.76853</v>
      </c>
      <c r="I3" s="2">
        <v>46316.6875</v>
      </c>
      <c r="J3" s="0">
        <v>6</v>
      </c>
      <c r="K3" s="3"/>
      <c r="L3" s="0" t="inlineStr">
        <is>
          <t xml:space="preserve">CLP</t>
        </is>
      </c>
      <c r="M3" s="0" t="inlineStr">
        <is>
          <t xml:space="preserve">LE</t>
        </is>
      </c>
      <c r="N3" s="4" t="inlineStr">
        <is>
          <t xml:space="preserve">Tecnologías de la información, telecomunicaciones y radiodifusión / Software / Software de planificación de recursos empresariales (ERP) y contabilidad financiera</t>
        </is>
      </c>
      <c r="O3" s="4" t="inlineStr">
        <is>
          <t xml:space="preserve">1 Unidad · Programas de contabilidad</t>
        </is>
      </c>
      <c r="P3" s="2"/>
      <c r="Q3" s="2"/>
      <c r="R3" s="0"/>
      <c r="S3" s="0" t="inlineStr">
        <is>
          <t xml:space="preserve">No</t>
        </is>
      </c>
      <c r="T3" s="4" t="inlineStr">
        <is>
          <t xml:space="preserve">Según punto 3.4 Bases Administrativas especiales</t>
        </is>
      </c>
      <c r="U3" s="0" t="inlineStr">
        <is>
          <t xml:space="preserve">Arnoldo Llanos Fuentes</t>
        </is>
      </c>
      <c r="V3" s="4" t="inlineStr">
        <is>
          <t xml:space="preserve">El objetivo de la presente licitación es dar solución a las necesidades a las oficinas de Administración y Finanzas, para el buen funcionamiento administrativos de esta área.</t>
        </is>
      </c>
      <c r="W3" s="5" t="str">
        <f>HYPERLINK("https://www.mercadopublico.cl/Procurement/Modules/Attachment/ViewAttachment.aspx?enc=w2V3tfF4jBj7llZusBWDO9xVqPHVSvstupNERQY33qAvJzRRA1ZbIuBBNeCaDlbaZwqzE0BzE6UE6dN%2b57P8CRDXSl9tzx2Wl5UBsHYAnQePLm2Rs61ovWif%2b7E96HE5mwvlmyVJ0Kn1PPvOsR8PI86s3p9SpPOJn4WC%2beCbkKAfNA%2fUW%2fmQzrhWBYQr73cTLoNUGn84Lq8wcXJn72fzLc5HCGXcOsQAIZTG8nKL6Vp6lYEd4o83q8ygOwntmm1VT%2fM2oQQv6H8f1E1HkE7H9GnW1VGzWuUb5I3v3Uc%2fbn84l6GpWg3oa2%2f4Q92geMKu","descargar bases")</f>
      </c>
    </row>
    <row r="4">
      <c r="A4" s="0" t="inlineStr">
        <is>
          <t xml:space="preserve">688-13-LE26</t>
        </is>
      </c>
      <c r="B4" s="4" t="inlineStr">
        <is>
          <t xml:space="preserve">ADQUISICIÓN Y RENOVACIÓN DE LICENCIAS DE SOFTWARE</t>
        </is>
      </c>
      <c r="C4" s="0" t="inlineStr">
        <is>
          <t xml:space="preserve">Publicada</t>
        </is>
      </c>
      <c r="D4" s="0" t="inlineStr">
        <is>
          <t xml:space="preserve">OFICINA DE ESTUDIOS Y POLITICAS AGRARIAS</t>
        </is>
      </c>
      <c r="E4" s="0" t="inlineStr">
        <is>
          <t xml:space="preserve">OFICINA DE ESTUDIOS Y POLITICAS AGRARIAS</t>
        </is>
      </c>
      <c r="F4" s="0" t="inlineStr">
        <is>
          <t xml:space="preserve">Región Metropolitana de Santiago</t>
        </is>
      </c>
      <c r="G4" s="0" t="inlineStr">
        <is>
          <t xml:space="preserve">Santiago Centro</t>
        </is>
      </c>
      <c r="H4" s="2">
        <v>46309.637801</v>
      </c>
      <c r="I4" s="2">
        <v>46316.625</v>
      </c>
      <c r="J4" s="0">
        <v>6</v>
      </c>
      <c r="K4" s="3"/>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1 Unidad · Software de gestión de licencias · 15 Unidad · Software de gestión de licencias · 20 Unidad · Software de gestión de licencias · y 2 más</t>
        </is>
      </c>
      <c r="P4" s="2"/>
      <c r="Q4" s="2"/>
      <c r="R4" s="0"/>
      <c r="S4" s="0" t="inlineStr">
        <is>
          <t xml:space="preserve">No</t>
        </is>
      </c>
      <c r="T4" s="4"/>
      <c r="U4" s="0" t="inlineStr">
        <is>
          <t xml:space="preserve">Eduardo Bascur Rodríguez</t>
        </is>
      </c>
      <c r="V4" s="4" t="inlineStr">
        <is>
          <t xml:space="preserve">ODEPA utiliza diversas soluciones de software necesarias para la operación de sus plataformas tecnológicas y
el desarrollo de las funciones del servicio. La presente contratación considera la renovación de licencias y
suscripciones actualmente utilizadas, así como la adquisición de licenciamiento adicional para cubrir nuevas
necesidades.
La contratación tiene por finalidad:
Garantizar la continuidad operativa de los productos y servicios actualmente utilizados.
Mantener el acceso a actualizaciones, mejoras de seguridad y soporte, según corresponda, con
actualizaciones y mejoras de seguridad permanentes.
Disponer de licenciamiento vigente y suficiente para las necesidades de la institución.</t>
        </is>
      </c>
      <c r="W4" s="5" t="str">
        <f>HYPERLINK("https://www.mercadopublico.cl/Procurement/Modules/Attachment/ViewAttachment.aspx?enc=LkMjPdnhVGhddzSppV7%2fnf8VG8cxC3HoFo66%2fbuwqEvYQr5P1DYNXivarCoTarFXVwJZLwp%2bPEdq0dSHAFRY4UddR%2bkUSgAJJMCHTAI5jBxBZJoksjWiRLHp5XZFBf%2bwNpYotsw7AtGYvsGz3D7MxAVL4zatj6ZAqu7u1EdLVHpIjtyWHxgg16ZPp6jxHhT%2f6mEJVOqBPRslkkwUkNAyeUhep5uaSEPKwjippUZXLgOwd%2fO4ldNMDf841fQPJ6KM97VdHlD7GhF4o5M%2fNxE1i5bK67x12xZdsairx9%2fbgFa3cr%2bgXQXjRmj3X401gwkL","descargar bases")</f>
      </c>
    </row>
    <row r="5">
      <c r="A5" s="0" t="inlineStr">
        <is>
          <t xml:space="preserve">425-67-LE26</t>
        </is>
      </c>
      <c r="B5" s="4" t="inlineStr">
        <is>
          <t xml:space="preserve">Software de seguridad extendida y Ciberdefensa</t>
        </is>
      </c>
      <c r="C5" s="0" t="inlineStr">
        <is>
          <t xml:space="preserve">Publicada</t>
        </is>
      </c>
      <c r="D5" s="0" t="inlineStr">
        <is>
          <t xml:space="preserve">CORP ADMINISTRATIVA DEL PODER JUDICIAL</t>
        </is>
      </c>
      <c r="E5" s="0" t="inlineStr">
        <is>
          <t xml:space="preserve">Servicios</t>
        </is>
      </c>
      <c r="F5" s="0" t="inlineStr">
        <is>
          <t xml:space="preserve">Región Metropolitana de Santiago</t>
        </is>
      </c>
      <c r="G5" s="0" t="inlineStr">
        <is>
          <t xml:space="preserve">Santiago Centro</t>
        </is>
      </c>
      <c r="H5" s="2">
        <v>46289.704861</v>
      </c>
      <c r="I5" s="2">
        <v>46317.666667</v>
      </c>
      <c r="J5" s="0">
        <v>7</v>
      </c>
      <c r="K5" s="3"/>
      <c r="L5" s="0" t="inlineStr">
        <is>
          <t xml:space="preserve">USD</t>
        </is>
      </c>
      <c r="M5" s="0" t="inlineStr">
        <is>
          <t xml:space="preserve">LE</t>
        </is>
      </c>
      <c r="N5" s="4" t="inlineStr">
        <is>
          <t xml:space="preserve">Tecnologías de la información, telecomunicaciones y radiodifusión / Software / Software de seguridad y protección</t>
        </is>
      </c>
      <c r="O5" s="4" t="inlineStr">
        <is>
          <t xml:space="preserve">1 Unidad · Software de equipos de red privada virtual (VPN) o de seguridad de red</t>
        </is>
      </c>
      <c r="P5" s="2"/>
      <c r="Q5" s="2"/>
      <c r="R5" s="0" t="inlineStr">
        <is>
          <t xml:space="preserve">12 meses</t>
        </is>
      </c>
      <c r="S5" s="0" t="inlineStr">
        <is>
          <t xml:space="preserve">No</t>
        </is>
      </c>
      <c r="T5" s="4"/>
      <c r="U5" s="0" t="inlineStr">
        <is>
          <t xml:space="preserve">Jorge Quezada</t>
        </is>
      </c>
      <c r="V5"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5" s="5" t="str">
        <f>HYPERLINK("https://www.mercadopublico.cl/Procurement/Modules/Attachment/ViewAttachment.aspx?enc=dU4f0WNVHkBUAIDHyxmw%2bco9%2fP3OGdADYUAEjSt9zhCYiT3%2bXvF7ctwj6DBYJCEDIJXdmIwbOWt6i65sb%2bNysOlN%2bfhDhVT696m3ZnGIEQZpYys7OdMOsK2ssMLB9fTvJ39320XtM%2b9HUymHSAiZE9661QdbYIUpTeTtnfofSSaxFdVJb4LEHW%2fGh7VYDUeOwGexv47OdxNPZKvo7bIB%2bWpK6%2bLFyRZoCSXjaQxMbh9AIRCnQ4zrBw86U%2f%2bx%2fasiA9eRvR0fBPdRZaYb%2flPwgu%2bQR4rSvKookxIsOnRnYGdPMCiQZWlk2%2ftOSDF21RN3","descargar bases")</f>
      </c>
    </row>
    <row r="6">
      <c r="A6" s="0" t="inlineStr">
        <is>
          <t xml:space="preserve">1230848-71-L126</t>
        </is>
      </c>
      <c r="B6" s="4" t="inlineStr">
        <is>
          <t xml:space="preserve">SERVICIO DE SOFTWARE PARA GESTIÓN DE FILAS TÓTEM</t>
        </is>
      </c>
      <c r="C6" s="0" t="inlineStr">
        <is>
          <t xml:space="preserve">Publicada</t>
        </is>
      </c>
      <c r="D6" s="0" t="inlineStr">
        <is>
          <t xml:space="preserve">Corporación Municipal de Desarrollo Social de Calama</t>
        </is>
      </c>
      <c r="E6" s="0" t="inlineStr">
        <is>
          <t xml:space="preserve">Corporación Municipal de Desarrollo Social de Cala</t>
        </is>
      </c>
      <c r="F6" s="0" t="inlineStr">
        <is>
          <t xml:space="preserve">Región de Antofagasta </t>
        </is>
      </c>
      <c r="G6" s="0" t="inlineStr">
        <is>
          <t xml:space="preserve">Calama</t>
        </is>
      </c>
      <c r="H6" s="2">
        <v>46309.731852</v>
      </c>
      <c r="I6" s="2">
        <v>46318.625</v>
      </c>
      <c r="J6" s="0">
        <v>8</v>
      </c>
      <c r="K6" s="3">
        <v>2300000.0</v>
      </c>
      <c r="L6" s="0" t="inlineStr">
        <is>
          <t xml:space="preserve">CLP</t>
        </is>
      </c>
      <c r="M6" s="0" t="inlineStr">
        <is>
          <t xml:space="preserve">L1</t>
        </is>
      </c>
      <c r="N6" s="4" t="inlineStr">
        <is>
          <t xml:space="preserve">Tecnologías de la información, telecomunicaciones y radiodifusión / Software / Software de consultas y gestión de datos</t>
        </is>
      </c>
      <c r="O6" s="4" t="inlineStr">
        <is>
          <t xml:space="preserve">1 Global · Software de clasificación o categorización</t>
        </is>
      </c>
      <c r="P6" s="2"/>
      <c r="Q6" s="2"/>
      <c r="R6" s="0"/>
      <c r="S6" s="0" t="inlineStr">
        <is>
          <t xml:space="preserve">No</t>
        </is>
      </c>
      <c r="T6" s="4"/>
      <c r="U6" s="0" t="inlineStr">
        <is>
          <t xml:space="preserve">Patricio Orellana Flores</t>
        </is>
      </c>
      <c r="V6" s="4" t="inlineStr">
        <is>
          <t xml:space="preserve">Contratación de un servicio integral de software para la gestión de filas del CESFAM Dr. Enrique Montt, que asegure la operación continua, segura y trazable del sistema, mediante una solución compatible e integrada con Rayen, permitiendo ordenar la atención, registrar el anuncio de llegada de los usuarios y generar información para la administración del establecimiento, de acuerdo con las Bases Técnicas.</t>
        </is>
      </c>
      <c r="W6" s="5" t="str">
        <f>HYPERLINK("https://www.mercadopublico.cl/Procurement/Modules/Attachment/ViewAttachment.aspx?enc=1b1PVBpEZlikzeIUPNgHHzrSO3TtScdKgSvJFkTSl26vffXsa%2fVt5seldwHjxbZCbbGMXzS4wAgCYiD1pBMxS9VHPJO3Y9qBlOjCEEDSUrFOs5WbImgR%2fMSVHZe83Gc4MiLpRgk6HKmAKXn6v4kTRFnLu1So6hFZ4aGJEtfyx8g6PE6%2fmChcNXvxxv7FeLorukkf3Z03seQy9t2579hBVtkK%2fK8d0OBxymGkEfYN4xZTWiy1U%2fP3MoNbsjUdtIICPOgjUUwjmdIya4dSHqW21XBcHyoX8x%2b8dmiy5mJ4wcq4M2vfR0wCs1G0xon4eRTS","descargar bases")</f>
      </c>
    </row>
    <row r="7">
      <c r="A7" s="0" t="inlineStr">
        <is>
          <t xml:space="preserve">792909-1-LE26</t>
        </is>
      </c>
      <c r="B7" s="4" t="inlineStr">
        <is>
          <t xml:space="preserve">ALMACENAJE DIGITALIZACIÓN Y CUSTODIA DE DOCUMENTO</t>
        </is>
      </c>
      <c r="C7" s="0" t="inlineStr">
        <is>
          <t xml:space="preserve">Publicada</t>
        </is>
      </c>
      <c r="D7" s="0" t="inlineStr">
        <is>
          <t xml:space="preserve">SUPERINTENDENCIA DE EDUCACION ESCOLAR</t>
        </is>
      </c>
      <c r="E7" s="0" t="inlineStr">
        <is>
          <t xml:space="preserve">SUPEREDUC DIRECCION REGIONAL X</t>
        </is>
      </c>
      <c r="F7" s="0" t="inlineStr">
        <is>
          <t xml:space="preserve">Región de los Lagos </t>
        </is>
      </c>
      <c r="G7" s="0" t="inlineStr">
        <is>
          <t xml:space="preserve">Puerto Montt</t>
        </is>
      </c>
      <c r="H7" s="2">
        <v>46310.415845</v>
      </c>
      <c r="I7" s="2">
        <v>46318.458333</v>
      </c>
      <c r="J7" s="0">
        <v>8</v>
      </c>
      <c r="K7" s="3"/>
      <c r="L7" s="0" t="inlineStr">
        <is>
          <t xml:space="preserve">CLP</t>
        </is>
      </c>
      <c r="M7" s="0" t="inlineStr">
        <is>
          <t xml:space="preserve">LE</t>
        </is>
      </c>
      <c r="N7" s="4" t="inlineStr">
        <is>
          <t xml:space="preserve">Servicios de transporte, almacenaje y correo / Almacenaje / Depósito y almacenaje especializado</t>
        </is>
      </c>
      <c r="O7" s="4" t="inlineStr">
        <is>
          <t xml:space="preserve">1 Unidad · Servicios de almacenaje de documentos</t>
        </is>
      </c>
      <c r="P7" s="2"/>
      <c r="Q7" s="2"/>
      <c r="R7" s="0" t="inlineStr">
        <is>
          <t xml:space="preserve">24 meses</t>
        </is>
      </c>
      <c r="S7" s="0" t="inlineStr">
        <is>
          <t xml:space="preserve">No</t>
        </is>
      </c>
      <c r="T7" s="4"/>
      <c r="U7" s="0" t="inlineStr">
        <is>
          <t xml:space="preserve">CARLOS FELIPE QUIÑONES BARRIA</t>
        </is>
      </c>
      <c r="V7" s="4" t="inlineStr">
        <is>
          <t xml:space="preserve">La Dirección Regional de la Superintendencia de Educación requiere contratar el Servicio de Almacenaje, Digitalización y Custodia de Documentos Físicos.</t>
        </is>
      </c>
      <c r="W7" s="5" t="str">
        <f>HYPERLINK("https://www.mercadopublico.cl/Procurement/Modules/Attachment/ViewAttachment.aspx?enc=pK%2fdLEFcC97%2bVEk4nOnWKuV3ji%2fdaVw5%2f32%2ba%2fBHt%2fq8wQH67KLQHwRKt3eZK%2b%2fdVMYEI8NM7Yr7gd2mTQ8wWumM1kxUQk8HSsYQDAd%2bX5l%2fovGuYPv6g4KT7Vx7Wwd0wYYewMKHkuqztlvza%2bwMQb5dYpT%2bOEKSk%2fhYeUAAfmTQe1cg0d%2bx6BEQFEXngLu6gBI%2bTBsGUZT5GxJF411gjnGSBnDL2pDTt2V%2fMIoZvKbuMdeMCo35cNl3kf%2bQ9PENQ0SXQ3fGm4AZdBHQ50s9txNUGKg2IC0QsnI1u95iAG46pL80edVBmf0qFLnvU2Lc","descargar bases")</f>
      </c>
    </row>
    <row r="8">
      <c r="A8" s="0" t="inlineStr">
        <is>
          <t xml:space="preserve">2048-78-LE26</t>
        </is>
      </c>
      <c r="B8" s="4" t="inlineStr">
        <is>
          <t xml:space="preserve">COMPRA SERVICIOS PROFESIONALES PARA U.INFORMÁTICA</t>
        </is>
      </c>
      <c r="C8" s="0" t="inlineStr">
        <is>
          <t xml:space="preserve">Publicada</t>
        </is>
      </c>
      <c r="D8" s="0" t="inlineStr">
        <is>
          <t xml:space="preserve">SERVICIO DE SALUD CHILOE</t>
        </is>
      </c>
      <c r="E8" s="0" t="inlineStr">
        <is>
          <t xml:space="preserve">Hospital de Ancud</t>
        </is>
      </c>
      <c r="F8" s="0" t="inlineStr">
        <is>
          <t xml:space="preserve">Región de los Lagos </t>
        </is>
      </c>
      <c r="G8" s="0"/>
      <c r="H8" s="2">
        <v>46310.37581</v>
      </c>
      <c r="I8" s="2">
        <v>46321.708333</v>
      </c>
      <c r="J8" s="0">
        <v>11</v>
      </c>
      <c r="K8" s="3"/>
      <c r="L8" s="0" t="inlineStr">
        <is>
          <t xml:space="preserve">CLP</t>
        </is>
      </c>
      <c r="M8" s="0" t="inlineStr">
        <is>
          <t xml:space="preserve">LE</t>
        </is>
      </c>
      <c r="N8" s="4" t="inlineStr">
        <is>
          <t xml:space="preserve">Servicios profesionales, administrativos y consultorías de gestión empresarial / Servicios de recursos humanos / Contratación de personal</t>
        </is>
      </c>
      <c r="O8" s="4" t="inlineStr">
        <is>
          <t xml:space="preserve">1 Hora/Hombre · Profesionales</t>
        </is>
      </c>
      <c r="P8" s="2"/>
      <c r="Q8" s="2"/>
      <c r="R8" s="0" t="inlineStr">
        <is>
          <t xml:space="preserve">12 meses</t>
        </is>
      </c>
      <c r="S8" s="0" t="inlineStr">
        <is>
          <t xml:space="preserve">No</t>
        </is>
      </c>
      <c r="T8" s="4" t="inlineStr">
        <is>
          <t xml:space="preserve">El adjudicatario no podrá ceder ni transferir en forma alguna, total ni parcialmente los derechos y obligaciones que nacen del desarrollo de la licitación. No se permite subcontratación.</t>
        </is>
      </c>
      <c r="U8" s="0" t="inlineStr">
        <is>
          <t xml:space="preserve">deisy cardenas</t>
        </is>
      </c>
      <c r="V8"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8" s="5" t="str">
        <f>HYPERLINK("https://www.mercadopublico.cl/Procurement/Modules/Attachment/ViewAttachment.aspx?enc=1x5TZFhZyBuH59hxwUlFem9wevBmwih4yzZ2day6GotBAb5xrp8VR51zc5Y7Oh%2bk9xdokWA5MC4ssp4e79Wi5XQM0RWh3wVrYErSKhL6wcYLrPjE7v17aBd7ZFk13DVmfugm5givtsWoh5aUrH8IpDRHwDT8T6SWlzxZoAaka47%2bOHdBBYfMInzDmzeGS7NUdesTCMcI7%2buogQsF15bCqXzz8pMIxKEykJHCnFehkw1H%2f8JWjvmZ6vT%2bdmi1f%2fOpxwe9P32RBFL%2buPoNBgoP6CnBsnfF5%2blUvLFzJaYStrO2vjgI44TvXRWKcXEsF4Yf","descargar bases")</f>
      </c>
    </row>
    <row r="9">
      <c r="A9" s="0" t="inlineStr">
        <is>
          <t xml:space="preserve">2788-54-LE26</t>
        </is>
      </c>
      <c r="B9" s="4" t="inlineStr">
        <is>
          <t xml:space="preserve">ADQUISICION Y RENOVACION DE SOFTWARES</t>
        </is>
      </c>
      <c r="C9" s="0" t="inlineStr">
        <is>
          <t xml:space="preserve">Publicada</t>
        </is>
      </c>
      <c r="D9" s="0" t="inlineStr">
        <is>
          <t xml:space="preserve">I MUNICIPALIDAD DE PAINE</t>
        </is>
      </c>
      <c r="E9" s="0" t="inlineStr">
        <is>
          <t xml:space="preserve">DEPARTAMENTO DE ADQUISICIONES</t>
        </is>
      </c>
      <c r="F9" s="0" t="inlineStr">
        <is>
          <t xml:space="preserve">Región Metropolitana de Santiago</t>
        </is>
      </c>
      <c r="G9" s="0" t="inlineStr">
        <is>
          <t xml:space="preserve">Paine</t>
        </is>
      </c>
      <c r="H9" s="2">
        <v>46309.660741</v>
      </c>
      <c r="I9" s="2">
        <v>46321.625</v>
      </c>
      <c r="J9" s="0">
        <v>11</v>
      </c>
      <c r="K9" s="3"/>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 · 1 Unidad · Software de gestión de licencias · 1 Unidad · Software de gestión de licencias</t>
        </is>
      </c>
      <c r="P9" s="2"/>
      <c r="Q9" s="2"/>
      <c r="R9" s="0" t="inlineStr">
        <is>
          <t xml:space="preserve">12 meses</t>
        </is>
      </c>
      <c r="S9" s="0" t="inlineStr">
        <is>
          <t xml:space="preserve">No</t>
        </is>
      </c>
      <c r="T9" s="4"/>
      <c r="U9" s="0" t="inlineStr">
        <is>
          <t xml:space="preserve">NICOLAS HUIRCAN MOHOR</t>
        </is>
      </c>
      <c r="V9" s="4" t="inlineStr">
        <is>
          <t xml:space="preserve">ADQUISICION Y RENOVACION DE SOFTWARES PARA UTILIZACION EN SECPLA, COMUNICACIONES, DOM Y OTRAS DEPENDENCIAS MUNICIPALES</t>
        </is>
      </c>
      <c r="W9" s="5" t="str">
        <f>HYPERLINK("https://www.mercadopublico.cl/Procurement/Modules/Attachment/ViewAttachment.aspx?enc=6izVVbQteAiItiwvZE5VTmsV8gRnfWgvvtOB%2fP%2fjKqAQ7PA483ER%2byTJVQ1NQ1kY3JfNejEj7KOnY%2fA2NtanyGzUWxIerSmh7Noc%2fklrLyRLA6yNaQ1yl61U7ofrrSfvJoOsX6WLl%2ba3gYyq%2bOyFs6Ups4uU%2fWEJuRghW3os8JBnlQgc7CSw7t5v46XBM9Whjbp%2f9oYwdJRL2jGOKlHN8WsHC37sr662V17QdOyHCXQa8vNTRBR%2frYo%2fboLgLb9WnDKbDz%2bJjB%2bi%2fmWP7%2fYX9WfJo6UNThhqKFIG%2fKDivp05buMtSiMb%2fFN%2fOdDVb9pO","descargar bases")</f>
      </c>
    </row>
    <row r="10">
      <c r="A10" s="0" t="inlineStr">
        <is>
          <t xml:space="preserve">3656-167-L126</t>
        </is>
      </c>
      <c r="B10" s="4" t="inlineStr">
        <is>
          <t xml:space="preserve">SERVICIO MESA DE AYUDA PLATAFORMA SIFIM</t>
        </is>
      </c>
      <c r="C10" s="0" t="inlineStr">
        <is>
          <t xml:space="preserve">Publicada</t>
        </is>
      </c>
      <c r="D10" s="0" t="inlineStr">
        <is>
          <t xml:space="preserve">I MUNICIPALIDAD DE REQUINOA</t>
        </is>
      </c>
      <c r="E10" s="0" t="inlineStr">
        <is>
          <t xml:space="preserve">Ilustre Municipalidad de Requínoa</t>
        </is>
      </c>
      <c r="F10" s="0" t="inlineStr">
        <is>
          <t xml:space="preserve">Región del Libertador General Bernardo O´Higgins</t>
        </is>
      </c>
      <c r="G10" s="0" t="inlineStr">
        <is>
          <t xml:space="preserve">Requinoa</t>
        </is>
      </c>
      <c r="H10" s="2">
        <v>46309.733299</v>
      </c>
      <c r="I10" s="2">
        <v>46321.625694</v>
      </c>
      <c r="J10" s="0">
        <v>11</v>
      </c>
      <c r="K10" s="3"/>
      <c r="L10" s="0" t="inlineStr">
        <is>
          <t xml:space="preserve">CLP</t>
        </is>
      </c>
      <c r="M10" s="0" t="inlineStr">
        <is>
          <t xml:space="preserve">L1</t>
        </is>
      </c>
      <c r="N10" s="4" t="inlineStr">
        <is>
          <t xml:space="preserve">Servicios profesionales, administrativos y consultorías de gestión empresarial / Servicios de recursos humanos / Contratación de personal</t>
        </is>
      </c>
      <c r="O10" s="4" t="inlineStr">
        <is>
          <t xml:space="preserve">14 Mes · Profesionales</t>
        </is>
      </c>
      <c r="P10" s="2"/>
      <c r="Q10" s="2"/>
      <c r="R10" s="0" t="inlineStr">
        <is>
          <t xml:space="preserve">14 meses</t>
        </is>
      </c>
      <c r="S10" s="0" t="inlineStr">
        <is>
          <t xml:space="preserve">No</t>
        </is>
      </c>
      <c r="T10" s="4"/>
      <c r="U10" s="0" t="inlineStr">
        <is>
          <t xml:space="preserve">PAULINA FLORES</t>
        </is>
      </c>
      <c r="V10" s="4" t="inlineStr">
        <is>
          <t xml:space="preserve">SERVICIO MESA DE AYUDA PLATAFORMA SIFIM</t>
        </is>
      </c>
      <c r="W10" s="5" t="str">
        <f>HYPERLINK("https://www.mercadopublico.cl/Procurement/Modules/Attachment/ViewAttachment.aspx?enc=Arg9dQ4yYybuZ3D1C6wOmEnIj9RqNQXbMoFQ%2fhAsH7XfkApjA%2fe0W%2fAxwrv88DhllA39u9Rr0rEYHd3EiFF52FiHtUg4DAVLLRN9XG2ykEkEtaPez3ES3x%2f%2bhtIymwsexZChTKkPKk4HcnoxVULFf06aWV1SU0k2V6J5cl2b6hJz%2fDnVyJgxUgK3Uo63QcxLK0rJzxxtQ0hlTo5zkq%2bjuaK73wOZ67PdsYAuJeU3XtdfT8v0yaS5ajbWYZfBdM%2f%2f9rTO9h4JewpokNW09U%2bO%2bUxhskDNBW7q9z%2bRPo3nqyE5kSPF3W1OLQxprDdo6acA","descargar bases")</f>
      </c>
    </row>
    <row r="11">
      <c r="A11" s="0" t="inlineStr">
        <is>
          <t xml:space="preserve">4375-142-LE26</t>
        </is>
      </c>
      <c r="B11" s="4" t="inlineStr">
        <is>
          <t xml:space="preserve">ARRIENDO SOFTWARE Y EQUIPOS PARA SISTEMA GESTOR DE FILAS</t>
        </is>
      </c>
      <c r="C11" s="0" t="inlineStr">
        <is>
          <t xml:space="preserve">Publicada</t>
        </is>
      </c>
      <c r="D11" s="0" t="inlineStr">
        <is>
          <t xml:space="preserve">HOSPITAL GUILLERMO GRANT BENAVENTE DE CO</t>
        </is>
      </c>
      <c r="E11" s="0" t="inlineStr">
        <is>
          <t xml:space="preserve">Abastecimiento General</t>
        </is>
      </c>
      <c r="F11" s="0" t="inlineStr">
        <is>
          <t xml:space="preserve">Región del Biobío </t>
        </is>
      </c>
      <c r="G11" s="0" t="inlineStr">
        <is>
          <t xml:space="preserve">Santiago</t>
        </is>
      </c>
      <c r="H11" s="2">
        <v>46310.46787</v>
      </c>
      <c r="I11" s="2">
        <v>46321.708333</v>
      </c>
      <c r="J11" s="0">
        <v>11</v>
      </c>
      <c r="K11" s="3"/>
      <c r="L11" s="0" t="inlineStr">
        <is>
          <t xml:space="preserve">CLP</t>
        </is>
      </c>
      <c r="M11" s="0" t="inlineStr">
        <is>
          <t xml:space="preserve">LE</t>
        </is>
      </c>
      <c r="N11" s="4" t="inlineStr">
        <is>
          <t xml:space="preserve">Equipos y suministros de defensa, orden público, protección y seguridad / Equipos para orden público / Equipo para control de disturbios</t>
        </is>
      </c>
      <c r="O11" s="4" t="inlineStr">
        <is>
          <t xml:space="preserve">24 Mes · Sistemas de control de formación de filas</t>
        </is>
      </c>
      <c r="P11" s="2"/>
      <c r="Q11" s="2"/>
      <c r="R11" s="0" t="inlineStr">
        <is>
          <t xml:space="preserve">24 meses</t>
        </is>
      </c>
      <c r="S11" s="0" t="inlineStr">
        <is>
          <t xml:space="preserve">No</t>
        </is>
      </c>
      <c r="T11" s="4" t="inlineStr">
        <is>
          <t xml:space="preserve">Se Prohíbe la  subcontratación</t>
        </is>
      </c>
      <c r="U11" s="0" t="inlineStr">
        <is>
          <t xml:space="preserve">Lisette Garcés Carrasco</t>
        </is>
      </c>
      <c r="V11" s="4" t="inlineStr">
        <is>
          <t xml:space="preserve">ARRIENDO SOFTWARE Y EQUIPOS PARA SISTEMA GESTOR DE FILAS</t>
        </is>
      </c>
      <c r="W11" s="5" t="str">
        <f>HYPERLINK("https://www.mercadopublico.cl/Procurement/Modules/Attachment/ViewAttachment.aspx?enc=cuZpmLOzxIQ8iVdLTswrQ5TAO%2fk5paLO6aQhkG74jQOPgx6vTwF85GkeWSSl0W6KxKukgjhX0Bz1dK1bK7NynUBLHfclv0GOYtKOc6yCzYCFoO5aJ45zGKk7Mm9ikJXVqnomLqjxSX4%2brwWIUJ%2bGXwZReu%2fMegUAx1sYSRg%2b8dWAtuOXjSyypuyeVMVM6BKQxog4JWgBeZjDwEhi5%2buFT3Y7efCPWdsFhPvYO8KGDuX69H4ZX2N04dnCGo%2fbVstuFGQ17R4k%2fBIFdrXdqktPe4%2b63vsnyPw8oSOrJ07mjSRuSvzV9GOWnITvnoFDA2BP","descargar bases")</f>
      </c>
    </row>
    <row r="12">
      <c r="A12" s="0" t="inlineStr">
        <is>
          <t xml:space="preserve">538598-41-LE26</t>
        </is>
      </c>
      <c r="B12" s="4" t="inlineStr">
        <is>
          <t xml:space="preserve">Servicio LME - arriendo de lectores huella digital</t>
        </is>
      </c>
      <c r="C12" s="0" t="inlineStr">
        <is>
          <t xml:space="preserve">Publicada</t>
        </is>
      </c>
      <c r="D12" s="0" t="inlineStr">
        <is>
          <t xml:space="preserve">HOSPITAL METROPOLITANO DE SANTIAGO</t>
        </is>
      </c>
      <c r="E12" s="0" t="inlineStr">
        <is>
          <t xml:space="preserve">ABASTECIMIENTO</t>
        </is>
      </c>
      <c r="F12" s="0" t="inlineStr">
        <is>
          <t xml:space="preserve">Región Metropolitana de Santiago</t>
        </is>
      </c>
      <c r="G12" s="0" t="inlineStr">
        <is>
          <t xml:space="preserve">Providencia</t>
        </is>
      </c>
      <c r="H12" s="2">
        <v>46310.430903</v>
      </c>
      <c r="I12" s="2">
        <v>46321.708333</v>
      </c>
      <c r="J12" s="0">
        <v>11</v>
      </c>
      <c r="K12" s="3"/>
      <c r="L12" s="0" t="inlineStr">
        <is>
          <t xml:space="preserve">CLP</t>
        </is>
      </c>
      <c r="M12" s="0" t="inlineStr">
        <is>
          <t xml:space="preserve">LE</t>
        </is>
      </c>
      <c r="N12"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12" s="4" t="inlineStr">
        <is>
          <t xml:space="preserve">1 Unidad · Software de sistema experto · 1 Unidad · Software del sistema de administración de bases de datos · 28 Unidad · Circuitos integrados digitales</t>
        </is>
      </c>
      <c r="P12" s="2"/>
      <c r="Q12" s="2"/>
      <c r="R12" s="0" t="inlineStr">
        <is>
          <t xml:space="preserve">36 meses</t>
        </is>
      </c>
      <c r="S12" s="0" t="inlineStr">
        <is>
          <t xml:space="preserve">No</t>
        </is>
      </c>
      <c r="T12" s="4"/>
      <c r="U12" s="0" t="inlineStr">
        <is>
          <t xml:space="preserve">Nicole Cañete Moya</t>
        </is>
      </c>
      <c r="V12"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12" s="5" t="str">
        <f>HYPERLINK("https://www.mercadopublico.cl/Procurement/Modules/Attachment/ViewAttachment.aspx?enc=vlhY89cuNBM1pjDsunQsCwTdgSLHh6XQTc2J9koQRNbIujilWkoYvk6MJIRLwF6kVv3baZ6x0WbPJZCPlnWXqYEpV30cNkI5t5mutnuU3nlmTICTP25Y0gYgkRqyTDERkRH0Z%2badlmglSTyUhQgjNkl6PfYDhFc3NTefth6HGIEoPPX%2fUZURw%2bOQqIXzrZjZZssRcXUqXS%2fgzExrvX1s87eoGoXmwFSK0oVnciUQGtknoxDxOhC7tka6678jEUyBQpoW%2f5ocVBpCVsQwD7Y%2bVhWNnAj4idp5I8KM413JgUO%2bh5YcC92JL8oMs9ZQBTaB","descargar bases")</f>
      </c>
    </row>
    <row r="13">
      <c r="A13" s="0" t="inlineStr">
        <is>
          <t xml:space="preserve">838794-12-LE26</t>
        </is>
      </c>
      <c r="B13" s="4" t="inlineStr">
        <is>
          <t xml:space="preserve">Tótem gestor de fila CAPSVILLA</t>
        </is>
      </c>
      <c r="C13" s="0" t="inlineStr">
        <is>
          <t xml:space="preserve">Publicada</t>
        </is>
      </c>
      <c r="D13" s="0" t="inlineStr">
        <is>
          <t xml:space="preserve">DIRECCION DE ABASTECIMIENTO DE LA ARMADA</t>
        </is>
      </c>
      <c r="E13" s="0" t="inlineStr">
        <is>
          <t xml:space="preserve">CENTRAL DE ATENCION PRIMARIA DE SALUD DE LA ARMADA</t>
        </is>
      </c>
      <c r="F13" s="0" t="inlineStr">
        <is>
          <t xml:space="preserve">Región de Valparaíso </t>
        </is>
      </c>
      <c r="G13" s="0" t="inlineStr">
        <is>
          <t xml:space="preserve">Viña del Mar</t>
        </is>
      </c>
      <c r="H13" s="2">
        <v>46309.66228</v>
      </c>
      <c r="I13" s="2">
        <v>46324.666667</v>
      </c>
      <c r="J13" s="0">
        <v>14</v>
      </c>
      <c r="K13" s="3"/>
      <c r="L13" s="0" t="inlineStr">
        <is>
          <t xml:space="preserve">CLP</t>
        </is>
      </c>
      <c r="M13" s="0" t="inlineStr">
        <is>
          <t xml:space="preserve">LE</t>
        </is>
      </c>
      <c r="N13" s="4" t="inlineStr">
        <is>
          <t xml:space="preserve">Equipos y suministros de defensa, orden público, protección y seguridad / Equipos para orden público / Equipo para control de disturbios</t>
        </is>
      </c>
      <c r="O13" s="4" t="inlineStr">
        <is>
          <t xml:space="preserve">1 Unidad · Sistemas de control de formación de filas</t>
        </is>
      </c>
      <c r="P13" s="2"/>
      <c r="Q13" s="2"/>
      <c r="R13" s="0"/>
      <c r="S13" s="0" t="inlineStr">
        <is>
          <t xml:space="preserve">No</t>
        </is>
      </c>
      <c r="T13" s="4" t="inlineStr">
        <is>
          <t xml:space="preserve">CAPITULO XVIII DE LAS BASES ADMINISTRATIVAS DE LA PRESENTE LICITACION.</t>
        </is>
      </c>
      <c r="U13" s="0" t="inlineStr">
        <is>
          <t xml:space="preserve">VICTOR LABRIN TAPIA</t>
        </is>
      </c>
      <c r="V13" s="4" t="inlineStr">
        <is>
          <t xml:space="preserve">Ordenar la espera de atención de pacientes que asisten a los Centros de Atención Primaria de Salud de Villa Alemana, en adelante CAPSVILLA.</t>
        </is>
      </c>
      <c r="W13" s="5" t="str">
        <f>HYPERLINK("https://www.mercadopublico.cl/Procurement/Modules/Attachment/ViewAttachment.aspx?enc=PZkiOG%2fBgkodAA2SNX2Lv7Y1Zr5uheq9sOB0Cy50b4ZOj3YE%2bte6jJgOl7S6OWVPHPvBpwEG3ftfhJD%2f2XrKSDYkSprSioP61xcJDYy7jM6vaF0Hqahv4%2b1Mk73fNBDGOEJPaMhnNyFb1Q0GToFsGAj8pvZlpXBDrSlL7uXYcLeAGhvOxzYpKh558KxXYBeoq8pFQCmQ8REVtlpSRU5FbSY%2bbANi1h3f2frfGZiIEf63JTEIkVfYS5LGqiVT5PQgT7x%2fTIlX4z4MN0oovKzFVS2VeLR1MPiMSyIyqehnZH12hf33jckfBMLdpSJOwW%2fF","descargar bases")</f>
      </c>
    </row>
    <row r="14">
      <c r="A14" s="0" t="inlineStr">
        <is>
          <t xml:space="preserve">4362-31-LP26</t>
        </is>
      </c>
      <c r="B14" s="4" t="inlineStr">
        <is>
          <t xml:space="preserve">Construcción Hitos de Acceso y Tótems Turísticos</t>
        </is>
      </c>
      <c r="C14" s="0" t="inlineStr">
        <is>
          <t xml:space="preserve">Publicada</t>
        </is>
      </c>
      <c r="D14" s="0" t="inlineStr">
        <is>
          <t xml:space="preserve">I MUNICIPALIDAD DE NACIMIENTO</t>
        </is>
      </c>
      <c r="E14" s="0" t="inlineStr">
        <is>
          <t xml:space="preserve">Secplan</t>
        </is>
      </c>
      <c r="F14" s="0" t="inlineStr">
        <is>
          <t xml:space="preserve">Región del Biobío </t>
        </is>
      </c>
      <c r="G14" s="0" t="inlineStr">
        <is>
          <t xml:space="preserve">Nacimiento</t>
        </is>
      </c>
      <c r="H14" s="2">
        <v>46309.782396</v>
      </c>
      <c r="I14" s="2">
        <v>46330.375</v>
      </c>
      <c r="J14" s="0">
        <v>20</v>
      </c>
      <c r="K14" s="3"/>
      <c r="L14" s="0" t="inlineStr">
        <is>
          <t xml:space="preserve">CLP</t>
        </is>
      </c>
      <c r="M14" s="0" t="inlineStr">
        <is>
          <t xml:space="preserve">LP</t>
        </is>
      </c>
      <c r="N14" s="4" t="inlineStr">
        <is>
          <t xml:space="preserve">Servicios de construcción y mantenimiento / Construcción de edificios en general / Construcción de obras civiles y infraestructuras</t>
        </is>
      </c>
      <c r="O14" s="4" t="inlineStr">
        <is>
          <t xml:space="preserve">1 Unidad · Construcción de obras civiles</t>
        </is>
      </c>
      <c r="P14" s="2"/>
      <c r="Q14" s="2"/>
      <c r="R14" s="0" t="inlineStr">
        <is>
          <t xml:space="preserve">90 días</t>
        </is>
      </c>
      <c r="S14" s="0" t="inlineStr">
        <is>
          <t xml:space="preserve">No</t>
        </is>
      </c>
      <c r="T14" s="4"/>
      <c r="U14" s="0" t="inlineStr">
        <is>
          <t xml:space="preserve">Gonzalo Antonio Oñate</t>
        </is>
      </c>
      <c r="V14"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14" s="5" t="str">
        <f>HYPERLINK("https://www.mercadopublico.cl/Procurement/Modules/Attachment/ViewAttachment.aspx?enc=roIyIvB7YSDvuDgBc1xAeWYAZGyLLrHka3uZCdFbAUME4uSLn0UH6%2beNgguiP6Kuk0JTARSthLcdwcboVavMmSIH100vPOUsNqydw%2fubyP4ZO5HxSYVW0%2fQxSqJfTQzGCkfRObF%2fMZcWcKL01oNABxuKN377esAJSxLpv0uCxHaPaJBfRBP%2fdwLkKS3xwRgBKwwO3iObzk4KSLYmqt8E%2b38Z6FFPuVEWFchX%2fadVJEzWkS0k7JlPYmV5t%2bmH7Gl6w%2fPIspjT6LOY9aBsF0xpL%2bEFF5HalQNjYfMY36Cf7sVDI5PW01FKXXAlEAHAdy8S","descargar bases")</f>
      </c>
    </row>
    <row r="15">
      <c r="A15" s="0" t="inlineStr">
        <is>
          <t xml:space="preserve">1113265-17-LE26</t>
        </is>
      </c>
      <c r="B15" s="4" t="inlineStr">
        <is>
          <t xml:space="preserve">PLATAFORMA DE GESTIÓN ESTRATÉGICA</t>
        </is>
      </c>
      <c r="C15" s="0" t="inlineStr">
        <is>
          <t xml:space="preserve">Publicada</t>
        </is>
      </c>
      <c r="D15" s="0" t="inlineStr">
        <is>
          <t xml:space="preserve">CENTRO DE FORMACION TECNICA DE LA REGION DE ANTOFAGASTA</t>
        </is>
      </c>
      <c r="E15" s="0" t="inlineStr">
        <is>
          <t xml:space="preserve">UNIDAD DE COMPRAS</t>
        </is>
      </c>
      <c r="F15" s="0" t="inlineStr">
        <is>
          <t xml:space="preserve">Región de Antofagasta </t>
        </is>
      </c>
      <c r="G15" s="0" t="inlineStr">
        <is>
          <t xml:space="preserve">Calama</t>
        </is>
      </c>
      <c r="H15" s="2">
        <v>46309.735046</v>
      </c>
      <c r="I15" s="2">
        <v>46332.63125</v>
      </c>
      <c r="J15" s="0">
        <v>22</v>
      </c>
      <c r="K15" s="3"/>
      <c r="L15" s="0" t="inlineStr">
        <is>
          <t xml:space="preserve">CLP</t>
        </is>
      </c>
      <c r="M15" s="0" t="inlineStr">
        <is>
          <t xml:space="preserve">LE</t>
        </is>
      </c>
      <c r="N15" s="4" t="inlineStr">
        <is>
          <t xml:space="preserve">Tecnologías de la información, telecomunicaciones y radiodifusión / Software / Software de consultas y gestión de datos</t>
        </is>
      </c>
      <c r="O15" s="4" t="inlineStr">
        <is>
          <t xml:space="preserve">1 Unidad · Software del sistema de administración de bases de datos</t>
        </is>
      </c>
      <c r="P15" s="2"/>
      <c r="Q15" s="2"/>
      <c r="R15" s="0" t="inlineStr">
        <is>
          <t xml:space="preserve">12 meses</t>
        </is>
      </c>
      <c r="S15" s="0" t="inlineStr">
        <is>
          <t xml:space="preserve">No</t>
        </is>
      </c>
      <c r="T15" s="4"/>
      <c r="U15" s="0" t="inlineStr">
        <is>
          <t xml:space="preserve">IVAN MELLA</t>
        </is>
      </c>
      <c r="V15" s="4" t="inlineStr">
        <is>
          <t xml:space="preserve">ADQUISICIÓN E IMPLEMENTACIÓN DE PLATAFORMA DE GESTIÓN ESTRATÉGICA DE LA PERMANENCIA ESTUDIANTIL PARA EL CENTRO DE FORMACIÓN TÉCNICA ESTATAL DE LA REGIÓN DE ANTOFAGASTA</t>
        </is>
      </c>
      <c r="W15" s="5" t="str">
        <f>HYPERLINK("https://www.mercadopublico.cl/Procurement/Modules/Attachment/ViewAttachment.aspx?enc=fPh9U9cuMukngCZottboDZm4k2UPCuvvDMn5hRpxhzMnFeV4ADb2Nxsvl0sjKn2aSriFkt%2bRxUnc07ThAmmwQRx6%2fFxb2vSTUfURWZG%2f%2fxM7onXh7JGswsLsxcEtfY8tT539gPvijeKwdosll4KCuiEi%2fM%2f67Yoxh1MzDVpbpWz90P03DTdUI1Mbc3bMB5Zq4eCymhrEvF1N06BwfBV%2btP5PdJOa8ZGgLM031tqRSDUYVsp5CFfDIOPZ4Q5R0VGSu4GcAtZXc6bgV5rPYAFtndSFci0Zp3b2vhbD5S2N649clgvUvq1y8y%2f6lbAOP9ya","descargar bases")</f>
      </c>
    </row>
    <row r="16">
      <c r="A16" s="0" t="inlineStr">
        <is>
          <t xml:space="preserve">1177296-25-LP26</t>
        </is>
      </c>
      <c r="B16"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6" s="0" t="inlineStr">
        <is>
          <t xml:space="preserve">Publicada</t>
        </is>
      </c>
      <c r="D16" s="0" t="inlineStr">
        <is>
          <t xml:space="preserve">SERVICIO NACIONAL DE PROTECCIÓN ESPECIALIZADA A LA NIÑEZ Y ADOLESCENCI</t>
        </is>
      </c>
      <c r="E16" s="0" t="inlineStr">
        <is>
          <t xml:space="preserve">SERVICIO NACIONAL DE PROTECCIÓN ESPECIALIZADA A LA</t>
        </is>
      </c>
      <c r="F16" s="0" t="inlineStr">
        <is>
          <t xml:space="preserve">Región Metropolitana de Santiago</t>
        </is>
      </c>
      <c r="G16" s="0" t="inlineStr">
        <is>
          <t xml:space="preserve">Santiago</t>
        </is>
      </c>
      <c r="H16" s="2">
        <v>46309.722616</v>
      </c>
      <c r="I16" s="2">
        <v>46335.625</v>
      </c>
      <c r="J16" s="0">
        <v>25</v>
      </c>
      <c r="K16" s="3"/>
      <c r="L16" s="0" t="inlineStr">
        <is>
          <t xml:space="preserve">CLP</t>
        </is>
      </c>
      <c r="M16" s="0" t="inlineStr">
        <is>
          <t xml:space="preserve">LP</t>
        </is>
      </c>
      <c r="N16" s="4" t="inlineStr">
        <is>
          <t xml:space="preserve">Equipos, accesorios y suministros de oficina / Maquinarias, suministros y accesorios de oficina / Máquinas y accesorios para registro de hora y asistencia en la oficina</t>
        </is>
      </c>
      <c r="O16" s="4" t="inlineStr">
        <is>
          <t xml:space="preserve">1 Global · Reloj de control</t>
        </is>
      </c>
      <c r="P16" s="2"/>
      <c r="Q16" s="2"/>
      <c r="R16" s="0" t="inlineStr">
        <is>
          <t xml:space="preserve">24 meses</t>
        </is>
      </c>
      <c r="S16" s="0" t="inlineStr">
        <is>
          <t xml:space="preserve">No</t>
        </is>
      </c>
      <c r="T16" s="4" t="inlineStr">
        <is>
          <t xml:space="preserve">Según lo indicado en bases de licitación adjuntas.</t>
        </is>
      </c>
      <c r="U16" s="0" t="inlineStr">
        <is>
          <t xml:space="preserve">Maximo Ovalle</t>
        </is>
      </c>
      <c r="V16" s="4" t="inlineStr">
        <is>
          <t xml:space="preserve">Adquirir servicios de instalación, mplementación, arriendo, soporte, mantención y operación de software y hardware de un sistema de  gestión de asistencia, relojes control y marcaje remoto con georreferenciación</t>
        </is>
      </c>
      <c r="W16" s="5" t="str">
        <f>HYPERLINK("https://www.mercadopublico.cl/Procurement/Modules/Attachment/ViewAttachment.aspx?enc=9QDg76ZyMbKF%2fzElLOhf0DlJkBuv91QB2O6qYhiyZQH0zc0iwRX1QeuglLwdU2aZBeIyihTm28esSNAvsEbimpdA65dOUdJbEqfxBn6s8Krt87FLVlO%2bK35TrXCGLqfTO7k2McIxydr1bA1c93z%2fEmalGcLtvf9TO3iDvsiAEVlxt3kDJXvINARHyrCrDYl8NoxU6%2fV5O0%2bBGyV3IBoIjTtvOK1K3C3D%2b2oguVsbhTeDXT4UcBDoiWIoj%2bo5%2bRheVEOJt0FuzKwsDUR2X6JRvcxuAoOhtDssBtOOynT1d26pYlWdgOiat2YWMnDUfoAW","descargar bases")</f>
      </c>
    </row>
  </sheetData>
  <autoFilter ref="A1:W16"/>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1153624-22-LE26</t>
        </is>
      </c>
      <c r="B2" s="4" t="inlineStr">
        <is>
          <t xml:space="preserve">Servicio enlace de datos de internet</t>
        </is>
      </c>
      <c r="C2" s="0" t="inlineStr">
        <is>
          <t xml:space="preserve">Publicada</t>
        </is>
      </c>
      <c r="D2" s="0" t="inlineStr">
        <is>
          <t xml:space="preserve">SUBSECRETARIA DE RELACIONES ECONOMICAS INTERNACIONALES</t>
        </is>
      </c>
      <c r="E2" s="0" t="inlineStr">
        <is>
          <t xml:space="preserve">Departamento Adquisiciones MN</t>
        </is>
      </c>
      <c r="F2" s="0" t="inlineStr">
        <is>
          <t xml:space="preserve">Región Metropolitana de Santiago</t>
        </is>
      </c>
      <c r="G2" s="0" t="inlineStr">
        <is>
          <t xml:space="preserve">Santiago</t>
        </is>
      </c>
      <c r="H2" s="2">
        <v>46295.481829</v>
      </c>
      <c r="I2" s="2">
        <v>46314.625</v>
      </c>
      <c r="J2" s="0">
        <v>4</v>
      </c>
      <c r="K2" s="3"/>
      <c r="L2" s="0" t="inlineStr">
        <is>
          <t xml:space="preserve">CLP</t>
        </is>
      </c>
      <c r="M2" s="0" t="inlineStr">
        <is>
          <t xml:space="preserve">LE</t>
        </is>
      </c>
      <c r="N2" s="4" t="inlineStr">
        <is>
          <t xml:space="preserve">Servicios basados en ingeniería, ciencias sociales y tecnología de la información / Servicios informáticos / Servicios de datos</t>
        </is>
      </c>
      <c r="O2" s="4" t="inlineStr">
        <is>
          <t xml:space="preserve">1 Unidad · Servicios de almacenamiento de datos</t>
        </is>
      </c>
      <c r="P2" s="2"/>
      <c r="Q2" s="2"/>
      <c r="R2" s="0" t="inlineStr">
        <is>
          <t xml:space="preserve">24 meses</t>
        </is>
      </c>
      <c r="S2" s="0" t="inlineStr">
        <is>
          <t xml:space="preserve">No</t>
        </is>
      </c>
      <c r="T2" s="4" t="inlineStr">
        <is>
          <t xml:space="preserve">No permite subcontratación.
El adjudicatario no podrá subcontratar, salvo autorización escrita de la Subsecretaría de Relaciones Económicas Internacionales</t>
        </is>
      </c>
      <c r="U2" s="0" t="inlineStr">
        <is>
          <t xml:space="preserve">Berland Méndez, René</t>
        </is>
      </c>
      <c r="V2" s="4" t="inlineStr">
        <is>
          <t xml:space="preserve">La Subsecretaría de Relaciones Económicas Internacionales invita a participar en el proceso de contratación de Servicios de enlace de datos de internet de la Subsecretaría de Relaciones Económicas Internacionales.</t>
        </is>
      </c>
      <c r="W2" s="5" t="str">
        <f>HYPERLINK("https://www.mercadopublico.cl/Procurement/Modules/Attachment/ViewAttachment.aspx?enc=eKG0%2bcLphWQuXqVJdwpWjliSzopy96GF4yJmG0YlsGzHelC7nSP%2f9gGLIufR07c4Zx68z2Ez6Ceg5ScMHgi5ZOFKgXBJwiurxhOLPSU%2f7FBtYUVsMGilJIGpc5HZfS2ounDLAZCDGeqMowWeOJnFAsE%2bPgjCUM1v4aTd9G65BJk%2bfkkNrQmTo6L5h%2bHxDWwkP2dvVYDzuaMGQ%2fs3Revn58Us6bmMMtQzXWcb5xAm%2fN%2b39wrs%2faEKmaLHRzFzFeQJbkQLIvSVD4KMAElgj6ecGB1EVQVj0tGKCIbcGiYRZsyHnoq7gAbbkXF770jgSQrB","descargar bases")</f>
      </c>
    </row>
    <row r="3">
      <c r="A3" s="0" t="inlineStr">
        <is>
          <t xml:space="preserve">2563-43-LP26</t>
        </is>
      </c>
      <c r="B3" s="4" t="inlineStr">
        <is>
          <t xml:space="preserve">Adquisición de cámaras IA y radares de seguridad</t>
        </is>
      </c>
      <c r="C3" s="0" t="inlineStr">
        <is>
          <t xml:space="preserve">Publicada</t>
        </is>
      </c>
      <c r="D3" s="0" t="inlineStr">
        <is>
          <t xml:space="preserve">DIRECCION GENERAL DE AERONAUTICA CIVIL</t>
        </is>
      </c>
      <c r="E3" s="0" t="inlineStr">
        <is>
          <t xml:space="preserve">UNIDAD DE COMPRA CONTRATOS NACIONALES</t>
        </is>
      </c>
      <c r="F3" s="0" t="inlineStr">
        <is>
          <t xml:space="preserve">Región Metropolitana de Santiago</t>
        </is>
      </c>
      <c r="G3" s="0" t="inlineStr">
        <is>
          <t xml:space="preserve">Providencia</t>
        </is>
      </c>
      <c r="H3" s="2">
        <v>46293.5386</v>
      </c>
      <c r="I3" s="2">
        <v>46314.625</v>
      </c>
      <c r="J3" s="0">
        <v>4</v>
      </c>
      <c r="K3" s="3">
        <v>192000000.0</v>
      </c>
      <c r="L3" s="0" t="inlineStr">
        <is>
          <t xml:space="preserve">CLP</t>
        </is>
      </c>
      <c r="M3" s="0" t="inlineStr">
        <is>
          <t xml:space="preserve">LP</t>
        </is>
      </c>
      <c r="N3" s="4" t="inlineStr">
        <is>
          <t xml:space="preserve">Equipos y suministros de defensa, orden público, protección y seguridad / Seguridad, vigilancia y detección / Equipo de vigilancia y detección</t>
        </is>
      </c>
      <c r="O3" s="4" t="inlineStr">
        <is>
          <t xml:space="preserve">2 Unidad · Cámaras de seguridad · 2 Unidad · Cámaras de seguridad · 1 Unidad · Cámaras de seguridad · y 13 más</t>
        </is>
      </c>
      <c r="P3" s="2"/>
      <c r="Q3" s="2"/>
      <c r="R3" s="0"/>
      <c r="S3" s="0" t="inlineStr">
        <is>
          <t xml:space="preserve">No</t>
        </is>
      </c>
      <c r="T3" s="4"/>
      <c r="U3" s="0" t="inlineStr">
        <is>
          <t xml:space="preserve">Javier Pacheco</t>
        </is>
      </c>
      <c r="V3"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3" s="5" t="str">
        <f>HYPERLINK("https://www.mercadopublico.cl/Procurement/Modules/Attachment/ViewAttachment.aspx?enc=gF0mC8%2fy9LWvbiy27MHSFGR13BMQ4C0H%2fEtNJoL9ZGQYPTm1CNXKNNGmtOis3BIM7xu0JelPboXQFPCe65MzI%2ftafATDVxZmzoVlxMS1oef3sKyH%2bRbqmWcPwJYfOpQVHJghgcM4oGilLr6naoxmh5lYwy%2bLhBr7Fu6gbT%2bZs08nUXjYFQHhioGhMKF2w6owiThm08vBbVGgfUg40GNlfFtT8XrFMWIbdrMi5%2fAVp%2bzGq%2bjAc7gsYbR8GF0QWtMcN95Be56uyfKoAuqyR%2fHFTirXCFahwQ3xTGuYLazP6f%2buuy40G1nJUd6%2bGLYA8tdH","descargar bases")</f>
      </c>
    </row>
    <row r="4">
      <c r="A4" s="0" t="inlineStr">
        <is>
          <t xml:space="preserve">3000-34-LE26</t>
        </is>
      </c>
      <c r="B4" s="4" t="inlineStr">
        <is>
          <t xml:space="preserve">Relojes Control de Asistencia Software de Gestión</t>
        </is>
      </c>
      <c r="C4" s="0" t="inlineStr">
        <is>
          <t xml:space="preserve">Publicada</t>
        </is>
      </c>
      <c r="D4" s="0" t="inlineStr">
        <is>
          <t xml:space="preserve">I MUNICIPALIDAD DE MONTEPATRIA</t>
        </is>
      </c>
      <c r="E4" s="0" t="inlineStr">
        <is>
          <t xml:space="preserve">Dirección  Adm. y  Finanzas</t>
        </is>
      </c>
      <c r="F4" s="0" t="inlineStr">
        <is>
          <t xml:space="preserve">Región de Coquimbo </t>
        </is>
      </c>
      <c r="G4" s="0" t="inlineStr">
        <is>
          <t xml:space="preserve">Monte Patria</t>
        </is>
      </c>
      <c r="H4" s="2">
        <v>46304.464792</v>
      </c>
      <c r="I4" s="2">
        <v>46314.625</v>
      </c>
      <c r="J4" s="0">
        <v>4</v>
      </c>
      <c r="K4" s="3">
        <v>65824330.0</v>
      </c>
      <c r="L4" s="0" t="inlineStr">
        <is>
          <t xml:space="preserve">CLP</t>
        </is>
      </c>
      <c r="M4" s="0" t="inlineStr">
        <is>
          <t xml:space="preserve">LE</t>
        </is>
      </c>
      <c r="N4" s="4" t="inlineStr">
        <is>
          <t xml:space="preserve">Equipos, accesorios y suministros de oficina / Maquinarias, suministros y accesorios de oficina / Máquinas y accesorios para registro de hora y asistencia en la oficina</t>
        </is>
      </c>
      <c r="O4" s="4" t="inlineStr">
        <is>
          <t xml:space="preserve">20 Unidad · Reloj de control · 1 Global · Reloj de control · 1 Unidad · Reloj de control · y 3 más</t>
        </is>
      </c>
      <c r="P4" s="2"/>
      <c r="Q4" s="2"/>
      <c r="R4" s="0" t="inlineStr">
        <is>
          <t xml:space="preserve">36 meses</t>
        </is>
      </c>
      <c r="S4" s="0" t="inlineStr">
        <is>
          <t xml:space="preserve">No</t>
        </is>
      </c>
      <c r="T4" s="4"/>
      <c r="U4" s="0" t="inlineStr">
        <is>
          <t xml:space="preserve">Juan Fuentevilla Jofre</t>
        </is>
      </c>
      <c r="V4"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4" s="5" t="str">
        <f>HYPERLINK("https://www.mercadopublico.cl/Procurement/Modules/Attachment/ViewAttachment.aspx?enc=DtB7TOuPii52Pax0pUr3J6GR1P3jtwh4msBcHrg0rWAJDM0OUt6cks1%2btJ6mKtG6TVBYmDwgLdbGcjdsxsQYceCaHJNLS1mCNhFn%2fDVohJHe6rr3VxraY8Y8oA6Kewq%2fQy5wYl2scaOt7VR9gMSi5tiSDZ8jzkNWpmS81HHhX6Wko1mkCN3Ol9NoVW98ir2sbnvP%2fGOOHFBFIfv953y%2fihBJkiy%2ff6vIJIKtQUqoilb6fOlihaqTDSbcNdzS8wy84rRqiBbFNOb6w9arSimEn5P2kXTbrtpa92YyjV6wMXWD3U%2blmqPhKsBfRL%2bSH%2bAA","descargar bases")</f>
      </c>
    </row>
    <row r="5">
      <c r="A5" s="0" t="inlineStr">
        <is>
          <t xml:space="preserve">869591-12-LP26</t>
        </is>
      </c>
      <c r="B5" s="4" t="inlineStr">
        <is>
          <t xml:space="preserve">CONTRATACIÓN DE PLATAFORMA DE GESTIÓN DOCUMENTAL EXPEDIENTE ELECTRÓNICO Y GESTIÓN DE PROCESOS</t>
        </is>
      </c>
      <c r="C5" s="0" t="inlineStr">
        <is>
          <t xml:space="preserve">Publicada</t>
        </is>
      </c>
      <c r="D5" s="0" t="inlineStr">
        <is>
          <t xml:space="preserve">DIRECCION DE COMPRAS Y CONTRATACION PUBLICA</t>
        </is>
      </c>
      <c r="E5" s="0" t="inlineStr">
        <is>
          <t xml:space="preserve">Calidad del Gasto en las Compras Públicas</t>
        </is>
      </c>
      <c r="F5" s="0" t="inlineStr">
        <is>
          <t xml:space="preserve">Región Metropolitana de Santiago</t>
        </is>
      </c>
      <c r="G5" s="0" t="inlineStr">
        <is>
          <t xml:space="preserve">Santiago Centro</t>
        </is>
      </c>
      <c r="H5" s="2">
        <v>46280.607639</v>
      </c>
      <c r="I5" s="2">
        <v>46314.625</v>
      </c>
      <c r="J5" s="0">
        <v>4</v>
      </c>
      <c r="K5" s="3"/>
      <c r="L5" s="0" t="inlineStr">
        <is>
          <t xml:space="preserve">CLP</t>
        </is>
      </c>
      <c r="M5" s="0" t="inlineStr">
        <is>
          <t xml:space="preserve">LP</t>
        </is>
      </c>
      <c r="N5" s="4" t="inlineStr">
        <is>
          <t xml:space="preserve">Tecnologías de la información, telecomunicaciones y radiodifusión / Software / Software de gestión de contenidos</t>
        </is>
      </c>
      <c r="O5" s="4" t="inlineStr">
        <is>
          <t xml:space="preserve">1 Unidad · Programas de gestión de documentos</t>
        </is>
      </c>
      <c r="P5" s="2"/>
      <c r="Q5" s="2"/>
      <c r="R5" s="0" t="inlineStr">
        <is>
          <t xml:space="preserve">44 meses</t>
        </is>
      </c>
      <c r="S5" s="0" t="inlineStr">
        <is>
          <t xml:space="preserve">No</t>
        </is>
      </c>
      <c r="T5" s="4" t="inlineStr">
        <is>
          <t xml:space="preserve">ver clausula 10 de las bases especiales</t>
        </is>
      </c>
      <c r="U5" s="0" t="inlineStr">
        <is>
          <t xml:space="preserve">Marcela Cabrera</t>
        </is>
      </c>
      <c r="V5" s="4" t="inlineStr">
        <is>
          <t xml:space="preserve">CONTRATACIÓN DE PLATAFORMA DE GESTIÓN DOCUMENTAL, EXPEDIENTE ELECTRÓNICO Y GESTIÓN DE PROCESOS PARA LA DIRECCIÓN DE COMPRAS Y CONTRATACIÓN PÚBLICA</t>
        </is>
      </c>
      <c r="W5" s="5" t="str">
        <f>HYPERLINK("https://www.mercadopublico.cl/Procurement/Modules/Attachment/ViewAttachment.aspx?enc=XRfLZUOi8Jga8MbV4fj%2bSbLkO6MFovYl30y2gIecMNHfHtwxj%2fgmTE7QF5ZI1IWstDJEyHmUIcaMpdG9PQZwgpWU7i9T%2bgKVWcfipaM5CstEL1eM%2fqY%2fm1XJwtgBsKe5P2Ed3zmX7WufYu5RSDogMfMwN4h3NnT5FaK8UjzLLXF%2b523IreSLi0uyZfTDczODRakks4gMmUSy2VtmFLYqP03QzIZ3VaIDnXU3KKXaskyEd1QJdObygEzru1xG0HXdpIadqnpy%2b0rbbL255oZILS%2blT7UShfX5XxsuMkORMjDrlvgk3dwC7jk7514YwdN5","descargar bases")</f>
      </c>
    </row>
    <row r="6">
      <c r="A6" s="0" t="inlineStr">
        <is>
          <t xml:space="preserve">514862-125-LR26</t>
        </is>
      </c>
      <c r="B6" s="4" t="inlineStr">
        <is>
          <t xml:space="preserve">10032938 PLATAFORMA DE AGENDAMIENTO TELECONSULTAS</t>
        </is>
      </c>
      <c r="C6" s="0" t="inlineStr">
        <is>
          <t xml:space="preserve">Publicada</t>
        </is>
      </c>
      <c r="D6" s="0" t="inlineStr">
        <is>
          <t xml:space="preserve">CORPORACION MUNICIPAL DE PENALOLEN PARA EL DESARROLO SOCIAL CORMUP</t>
        </is>
      </c>
      <c r="E6" s="0" t="inlineStr">
        <is>
          <t xml:space="preserve">CORPORACION MUNICIPAL DE PENALOLEN PARA EL DESARRO</t>
        </is>
      </c>
      <c r="F6" s="0" t="inlineStr">
        <is>
          <t xml:space="preserve">Región Metropolitana de Santiago</t>
        </is>
      </c>
      <c r="G6" s="0" t="inlineStr">
        <is>
          <t xml:space="preserve">Peñalolén</t>
        </is>
      </c>
      <c r="H6" s="2">
        <v>46281.559005</v>
      </c>
      <c r="I6" s="2">
        <v>46314.625</v>
      </c>
      <c r="J6" s="0">
        <v>4</v>
      </c>
      <c r="K6" s="3">
        <v>408000000.0</v>
      </c>
      <c r="L6" s="0" t="inlineStr">
        <is>
          <t xml:space="preserve">CLP</t>
        </is>
      </c>
      <c r="M6" s="0" t="inlineStr">
        <is>
          <t xml:space="preserve">LR</t>
        </is>
      </c>
      <c r="N6" s="4" t="inlineStr">
        <is>
          <t xml:space="preserve">Servicios basados en ingeniería, ciencias sociales y tecnología de la información / Servicios informáticos / Servicios de datos</t>
        </is>
      </c>
      <c r="O6" s="4" t="inlineStr">
        <is>
          <t xml:space="preserve">1 Unidad · Servicios de transformación de datos</t>
        </is>
      </c>
      <c r="P6" s="2"/>
      <c r="Q6" s="2"/>
      <c r="R6" s="0"/>
      <c r="S6" s="0" t="inlineStr">
        <is>
          <t xml:space="preserve">No</t>
        </is>
      </c>
      <c r="T6" s="4" t="inlineStr">
        <is>
          <t xml:space="preserve">SEGUN BASES ADJUNTAS</t>
        </is>
      </c>
      <c r="U6" s="0" t="inlineStr">
        <is>
          <t xml:space="preserve">DANILA SEGUEL</t>
        </is>
      </c>
      <c r="V6" s="4" t="inlineStr">
        <is>
          <t xml:space="preserve">SEGUN BASES ADJUNTAS</t>
        </is>
      </c>
      <c r="W6" s="5" t="str">
        <f>HYPERLINK("https://www.mercadopublico.cl/Procurement/Modules/Attachment/ViewAttachment.aspx?enc=jhqt8jE3PCuFdlGHdsNFemaxlctYi05d3DEZ7ritKEOBGT5wb8dToOcENFQ5VdmeRNUc34V4rA0jWFODjtmAwXJSlrUHPoy2HO9bLXcVEj5Vd3EDMfS4MQOQ7kFehcMRE14q1ShwDngAkHFwBfGvh58Sc3c0K1mpqgciYr1ShDHF7wKFAfJ4rfpITbFFgku87imuNhQmlrNdH5WTvFX4VWPDYpMfU2TTG8%2bhNph4x2dUJbwsjtlSgSDHzDp9qMwBepU8Yni%2fsO1AiPetxAZnWdJrkx55gki42dWMi6QH1z2czmDOjSOMCyScT4A4P%2fpe","descargar bases")</f>
      </c>
    </row>
    <row r="7">
      <c r="A7" s="0" t="inlineStr">
        <is>
          <t xml:space="preserve">1218393-49-LE26</t>
        </is>
      </c>
      <c r="B7" s="4" t="inlineStr">
        <is>
          <t xml:space="preserve">Convenio suministro de servicios de fotocopiado impresión y digitalización con arriendo de equipos para CESFAM Externo Valdivia</t>
        </is>
      </c>
      <c r="C7" s="0" t="inlineStr">
        <is>
          <t xml:space="preserve">Publicada</t>
        </is>
      </c>
      <c r="D7" s="0" t="inlineStr">
        <is>
          <t xml:space="preserve">CONSULTORIO EXTERNO VALDIVIA</t>
        </is>
      </c>
      <c r="E7" s="0" t="inlineStr">
        <is>
          <t xml:space="preserve">BIENES Y SERVICIOS</t>
        </is>
      </c>
      <c r="F7" s="0" t="inlineStr">
        <is>
          <t xml:space="preserve">Región de Los Ríos</t>
        </is>
      </c>
      <c r="G7" s="0"/>
      <c r="H7" s="2">
        <v>46304.676343</v>
      </c>
      <c r="I7" s="2">
        <v>46314.625694</v>
      </c>
      <c r="J7" s="0">
        <v>4</v>
      </c>
      <c r="K7" s="3">
        <v>21000000.0</v>
      </c>
      <c r="L7" s="0" t="inlineStr">
        <is>
          <t xml:space="preserve">CLP</t>
        </is>
      </c>
      <c r="M7" s="0" t="inlineStr">
        <is>
          <t xml:space="preserve">LE</t>
        </is>
      </c>
      <c r="N7" s="4" t="inlineStr">
        <is>
          <t xml:space="preserve">Servicios editoriales, de diseño, publicidad, gráficos y artistas / Servicios de impresión y reproducción / Fotocopiado</t>
        </is>
      </c>
      <c r="O7" s="4" t="inlineStr">
        <is>
          <t xml:space="preserve">1 Unidad · Servicios de copias en blanco y negro</t>
        </is>
      </c>
      <c r="P7" s="2"/>
      <c r="Q7" s="2"/>
      <c r="R7" s="0" t="inlineStr">
        <is>
          <t xml:space="preserve">12 meses</t>
        </is>
      </c>
      <c r="S7" s="0" t="inlineStr">
        <is>
          <t xml:space="preserve">No</t>
        </is>
      </c>
      <c r="T7" s="4"/>
      <c r="U7" s="0" t="inlineStr">
        <is>
          <t xml:space="preserve">Ximena Alarcón</t>
        </is>
      </c>
      <c r="V7" s="4" t="inlineStr">
        <is>
          <t xml:space="preserve">El CESFAM Externo Valdivia, invita a personas naturales o jurídicas que cumplan con los requisitos establecidos en las presentes Bases a ofertar en su licitación "Convenio suministro de servicios de fotocopiado, impresión y digitalización con arriendo de equipos para CESFAM Externo Valdivia".
En la presente licitación se adjudicará una línea de licitación a un solo oferente, no siendo posible adjudicar a más de un proveedor la misma línea.</t>
        </is>
      </c>
      <c r="W7" s="5" t="str">
        <f>HYPERLINK("https://www.mercadopublico.cl/Procurement/Modules/Attachment/ViewAttachment.aspx?enc=XxnMmD7hZMwMROOWCKhyYsk1lqUpBOzTN8Vh2%2fAIrbK9IPo0lHSTdGleRQCh59kmeulibDYldTwggHMbtmclzQ7G%2fhQZqvcFSGKMgSuynbP7dAIGUcUAv798yL%2fMf9%2by0BA1q%2buA7nPzDdKDcusP8Sihwy%2fUMJcifMFTlFVUOm1Dya0TRzarH2IxaUnnHJhtn4fsfQXE%2f0fP1VGuaUdmNceTWiDBfj6LzXjfRNfnyEx3ysI9WG0zQGAY%2bbhXQA4%2fAQG4dlyCOxoU%2f3OB%2bJhMCFakljtdTg3YlEi1%2bY%2fRWnQgJjgrQhfeCgj%2b0Z2vB89x","descargar bases")</f>
      </c>
    </row>
    <row r="8">
      <c r="A8" s="0" t="inlineStr">
        <is>
          <t xml:space="preserve">4589-20-LE26</t>
        </is>
      </c>
      <c r="B8" s="4" t="inlineStr">
        <is>
          <t xml:space="preserve">CONTRATACION PARA SOPORTE DE MANTENCION Y CAPACITACION DE PLATAFORMA SIFIM PARA ILUSTRE MUNICIPALIDAD DE TORRES DEL PAINE GESTION AREA MUNICIPAL Y SALUD</t>
        </is>
      </c>
      <c r="C8" s="0" t="inlineStr">
        <is>
          <t xml:space="preserve">Publicada</t>
        </is>
      </c>
      <c r="D8" s="0" t="inlineStr">
        <is>
          <t xml:space="preserve">ILUSTRE MUNICIPALIDAD DE TORRES DEL PAIN</t>
        </is>
      </c>
      <c r="E8" s="0" t="inlineStr">
        <is>
          <t xml:space="preserve">adquisiciones</t>
        </is>
      </c>
      <c r="F8" s="0" t="inlineStr">
        <is>
          <t xml:space="preserve">Región de Magallanes y de la Antártica</t>
        </is>
      </c>
      <c r="G8" s="0" t="inlineStr">
        <is>
          <t xml:space="preserve">Torres del Payne</t>
        </is>
      </c>
      <c r="H8" s="2">
        <v>46304.64022</v>
      </c>
      <c r="I8" s="2">
        <v>46314.625694</v>
      </c>
      <c r="J8" s="0">
        <v>4</v>
      </c>
      <c r="K8" s="3"/>
      <c r="L8" s="0" t="inlineStr">
        <is>
          <t xml:space="preserve">CLP</t>
        </is>
      </c>
      <c r="M8" s="0" t="inlineStr">
        <is>
          <t xml:space="preserve">LE</t>
        </is>
      </c>
      <c r="N8" s="4" t="inlineStr">
        <is>
          <t xml:space="preserve">Tecnologías de la información, telecomunicaciones y radiodifusión / Software / Software de planificación de recursos empresariales (ERP) y contabilidad financiera</t>
        </is>
      </c>
      <c r="O8" s="4" t="inlineStr">
        <is>
          <t xml:space="preserve">1 Unidad · Programas de análisis financiero</t>
        </is>
      </c>
      <c r="P8" s="2"/>
      <c r="Q8" s="2"/>
      <c r="R8" s="0" t="inlineStr">
        <is>
          <t xml:space="preserve">12 meses</t>
        </is>
      </c>
      <c r="S8" s="0" t="inlineStr">
        <is>
          <t xml:space="preserve">No</t>
        </is>
      </c>
      <c r="T8" s="4" t="inlineStr">
        <is>
          <t xml:space="preserve">NO APLICA</t>
        </is>
      </c>
      <c r="U8" s="0" t="inlineStr">
        <is>
          <t xml:space="preserve">RODRIGO SOTO OROZ</t>
        </is>
      </c>
      <c r="V8" s="4" t="inlineStr">
        <is>
          <t xml:space="preserve">CONTRATACION PARA SOPORTE DE MANTENCION Y CAPACITACION DE PLATAFORMA SIFIM PARA ILUSTRE MUNICIPALIDAD DE TORRES DEL PAINE, GESTION AREA MUNICIPAL Y SALUD</t>
        </is>
      </c>
      <c r="W8" s="5" t="str">
        <f>HYPERLINK("https://www.mercadopublico.cl/Procurement/Modules/Attachment/ViewAttachment.aspx?enc=rtTNJwe3XMT0Ito9itzruwjS4lZm1q8SZ9F3%2fB6XUTElZMNoorSSf6Xvz3iBSth8nD3sIbVRpTqW4AXYHML6sp%2fW8RIDmdRTxWNVdxoKsl4HzH6LYmiCQy7zpiHm2MrLHXcy%2ftnIAheJMz0um8EPJPDjykhdH5CX%2bHZC8wC6hTRG%2bCZj3Gdl7eCRSW54In%2fAGh%2f26Xfz0yZ8c2ZkkZOqaFbZISgQ6uz9hTlsCjGfDS4yEOJUem2KQ2haecS7yyQldcCursqMsLUFPI2w2IdW921oKbPT%2fZ2p%2feijvU%2fVTxpvuXW%2bb2s7WoOp2t7H1juC","descargar bases")</f>
      </c>
    </row>
    <row r="9">
      <c r="A9" s="0" t="inlineStr">
        <is>
          <t xml:space="preserve">1057549-8-LE26</t>
        </is>
      </c>
      <c r="B9" s="4" t="inlineStr">
        <is>
          <t xml:space="preserve">CONVENIO FOTOCOPIADO IMPRESIÓN Y DIGITALIZACIÓN</t>
        </is>
      </c>
      <c r="C9" s="0" t="inlineStr">
        <is>
          <t xml:space="preserve">Publicada</t>
        </is>
      </c>
      <c r="D9" s="0" t="inlineStr">
        <is>
          <t xml:space="preserve">SERVICIO DE SALUD VALDIVIA HOSPITAL LANC</t>
        </is>
      </c>
      <c r="E9" s="0" t="inlineStr">
        <is>
          <t xml:space="preserve">Bienes y Servicios</t>
        </is>
      </c>
      <c r="F9" s="0" t="inlineStr">
        <is>
          <t xml:space="preserve">Región de Los Ríos</t>
        </is>
      </c>
      <c r="G9" s="0" t="inlineStr">
        <is>
          <t xml:space="preserve">Lanco</t>
        </is>
      </c>
      <c r="H9" s="2">
        <v>46303.598611</v>
      </c>
      <c r="I9" s="2">
        <v>46314.625694</v>
      </c>
      <c r="J9" s="0">
        <v>4</v>
      </c>
      <c r="K9" s="3"/>
      <c r="L9" s="0" t="inlineStr">
        <is>
          <t xml:space="preserve">CLP</t>
        </is>
      </c>
      <c r="M9" s="0" t="inlineStr">
        <is>
          <t xml:space="preserve">LE</t>
        </is>
      </c>
      <c r="N9" s="4" t="inlineStr">
        <is>
          <t xml:space="preserve">Servicios editoriales, de diseño, publicidad, gráficos y artistas / Servicios de impresión y reproducción / Impresión</t>
        </is>
      </c>
      <c r="O9" s="4" t="inlineStr">
        <is>
          <t xml:space="preserve">1 Unidad · Impresión digital</t>
        </is>
      </c>
      <c r="P9" s="2"/>
      <c r="Q9" s="2"/>
      <c r="R9" s="0" t="inlineStr">
        <is>
          <t xml:space="preserve">24 meses</t>
        </is>
      </c>
      <c r="S9" s="0" t="inlineStr">
        <is>
          <t xml:space="preserve">No</t>
        </is>
      </c>
      <c r="T9" s="4"/>
      <c r="U9" s="0" t="inlineStr">
        <is>
          <t xml:space="preserve">Andrea Folch Bernales</t>
        </is>
      </c>
      <c r="V9"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9" s="5" t="str">
        <f>HYPERLINK("https://www.mercadopublico.cl/Procurement/Modules/Attachment/ViewAttachment.aspx?enc=tscddWrZKFuNSDcM0JLgwx6bWpWFOgVJAMj%2fnPkIUFyn9i1lnswM1ypaF6Nr6Ewz7GfJcBi8Q440Bgdr1vXwCSREjZJkYpAriEMapdpw0jt3DJxInokdqPYe2D8VZlizlIpZe%2bSpOYTzFbqS0WeFsHnQZ7tnI6hTCTspeKa5BtILjzYQwcX%2fqEU3lBID2lSeF3txETQRUOQ85%2bcJgcaJBw3w9OYYkhv53ADC9upYOfWe9SPPOOPHBMWXEIX%2bHR5hVKfmRULqe%2fsxPhV7h%2boZcwuxCTQA5qD4RAkU1JdLTeil2MWgz0iL0EB1XGGbTpXe","descargar bases")</f>
      </c>
    </row>
    <row r="10">
      <c r="A10" s="0" t="inlineStr">
        <is>
          <t xml:space="preserve">1057503-146-LE26</t>
        </is>
      </c>
      <c r="B10" s="4" t="inlineStr">
        <is>
          <t xml:space="preserve">Contratación de Solución Tecnológica Bajo Modalidad SaaS para Automatizar Procesos de Gestión Estratégica Institucional para el Hospital Padre Alberto Hurtado</t>
        </is>
      </c>
      <c r="C10" s="0" t="inlineStr">
        <is>
          <t xml:space="preserve">Publicada</t>
        </is>
      </c>
      <c r="D10" s="0" t="inlineStr">
        <is>
          <t xml:space="preserve">HOSPITAL PADRE ALBERTO HURTADO</t>
        </is>
      </c>
      <c r="E10" s="0" t="inlineStr">
        <is>
          <t xml:space="preserve">Bienes y Servicios</t>
        </is>
      </c>
      <c r="F10" s="0" t="inlineStr">
        <is>
          <t xml:space="preserve">Región Metropolitana de Santiago</t>
        </is>
      </c>
      <c r="G10" s="0" t="inlineStr">
        <is>
          <t xml:space="preserve">San Ramón</t>
        </is>
      </c>
      <c r="H10" s="2">
        <v>46295.709028</v>
      </c>
      <c r="I10" s="2">
        <v>46314.666667</v>
      </c>
      <c r="J10" s="0">
        <v>4</v>
      </c>
      <c r="K10" s="3">
        <v>1600.0</v>
      </c>
      <c r="L10" s="0" t="inlineStr">
        <is>
          <t xml:space="preserve">CLF</t>
        </is>
      </c>
      <c r="M10" s="0" t="inlineStr">
        <is>
          <t xml:space="preserve">LE</t>
        </is>
      </c>
      <c r="N10" s="4" t="inlineStr">
        <is>
          <t xml:space="preserve">Tecnologías de la información, telecomunicaciones y radiodifusión / Software / Software de administración de redes</t>
        </is>
      </c>
      <c r="O10" s="4" t="inlineStr">
        <is>
          <t xml:space="preserve">1 Unidad · Software de administración</t>
        </is>
      </c>
      <c r="P10" s="2"/>
      <c r="Q10" s="2"/>
      <c r="R10" s="0" t="inlineStr">
        <is>
          <t xml:space="preserve">24 meses</t>
        </is>
      </c>
      <c r="S10" s="0" t="inlineStr">
        <is>
          <t xml:space="preserve">No</t>
        </is>
      </c>
      <c r="T10" s="4"/>
      <c r="U10" s="0" t="inlineStr">
        <is>
          <t xml:space="preserve">Erika Valdés Rubio</t>
        </is>
      </c>
      <c r="V10"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10" s="5" t="str">
        <f>HYPERLINK("https://www.mercadopublico.cl/Procurement/Modules/Attachment/ViewAttachment.aspx?enc=IG1ncLTt1P2890pvBHGKBAf6mpt480A2ps%2f9N5e4oTFki96P48p6tnovZG6gf7iXvcU9NuH%2bNr69P%2buslyrQtyVhRPnQ3TjSN7lktgxdDXJTkVxV%2fUXGJ9oeyNNvLXocUCBLpvDUDsILFSqXY69Pzghgcj358yu1eegfJuqPCGGgL3Mq9f2Ni%2bGC0XuprcZEKGc55IqCFz5geUFsOUMfWuOO0sVDSQU20dfuRb9gBMyKMvTTty7V8tguC%2bMPsTbnHJ1SNQb%2bVUtUiyfn5DzX6jBM5zSq8wKkG7gyffFZw0qq9haxrxkvlIlhi9P4Arj8","descargar bases")</f>
      </c>
    </row>
    <row r="11">
      <c r="A11" s="0" t="inlineStr">
        <is>
          <t xml:space="preserve">425-65-LR26</t>
        </is>
      </c>
      <c r="B11" s="4" t="inlineStr">
        <is>
          <t xml:space="preserve">Renovación de licencias y servicio de administración de software Falcon Crowdstrike EDR para el Poder Judicial</t>
        </is>
      </c>
      <c r="C11" s="0" t="inlineStr">
        <is>
          <t xml:space="preserve">Publicada</t>
        </is>
      </c>
      <c r="D11" s="0" t="inlineStr">
        <is>
          <t xml:space="preserve">CORP ADMINISTRATIVA DEL PODER JUDICIAL</t>
        </is>
      </c>
      <c r="E11" s="0" t="inlineStr">
        <is>
          <t xml:space="preserve">Servicios</t>
        </is>
      </c>
      <c r="F11" s="0" t="inlineStr">
        <is>
          <t xml:space="preserve">Región Metropolitana de Santiago</t>
        </is>
      </c>
      <c r="G11" s="0" t="inlineStr">
        <is>
          <t xml:space="preserve">Santiago Centro</t>
        </is>
      </c>
      <c r="H11" s="2">
        <v>46282.496528</v>
      </c>
      <c r="I11" s="2">
        <v>46314.666667</v>
      </c>
      <c r="J11" s="0">
        <v>4</v>
      </c>
      <c r="K11" s="3"/>
      <c r="L11" s="0" t="inlineStr">
        <is>
          <t xml:space="preserve">USD</t>
        </is>
      </c>
      <c r="M11" s="0" t="inlineStr">
        <is>
          <t xml:space="preserve">LR</t>
        </is>
      </c>
      <c r="N11" s="4" t="inlineStr">
        <is>
          <t xml:space="preserve">Tecnologías de la información, telecomunicaciones y radiodifusión / Software / Software de gestión</t>
        </is>
      </c>
      <c r="O11" s="4" t="inlineStr">
        <is>
          <t xml:space="preserve">1 Global · Software de gestión de licencias · 1 Global · Software de gestión de licencias · 1 Global · Software de gestión de licencias · y 2 más</t>
        </is>
      </c>
      <c r="P11" s="2"/>
      <c r="Q11" s="2"/>
      <c r="R11" s="0" t="inlineStr">
        <is>
          <t xml:space="preserve">12 meses</t>
        </is>
      </c>
      <c r="S11" s="0" t="inlineStr">
        <is>
          <t xml:space="preserve">No</t>
        </is>
      </c>
      <c r="T11" s="4" t="inlineStr">
        <is>
          <t xml:space="preserve">De acuerdo al numeral 15 de las bases administrativas especiales</t>
        </is>
      </c>
      <c r="U11" s="0" t="inlineStr">
        <is>
          <t xml:space="preserve">Jorge Quezada</t>
        </is>
      </c>
      <c r="V11" s="4" t="inlineStr">
        <is>
          <t xml:space="preserve">Renovación de licencias y servicio de administración de software Falcon Crowdstrike EDR para el Poder Judicial</t>
        </is>
      </c>
      <c r="W11" s="5" t="str">
        <f>HYPERLINK("https://www.mercadopublico.cl/Procurement/Modules/Attachment/ViewAttachment.aspx?enc=94eolpT9jkQToOkg8%2fzwCk4jvzwmeJqX1yIkEt8798EiTh%2fv%2bXKSOJpvMZgcWHxJs6dv%2fXhIm%2fh4L2PkkGQpMapaj7orhhCCA%2fL29PJqwdBJX8RZOTbA6T%2bdD9iQGUlUEsUsY0ZCcvhLCl0eL8IbIr70aRwtjIFPzY4ZQS1ZDmLz9QPjtZhjJbAnSaheFT5pqukCco6JaXtM7gxHkjSTTLqTha5YLBRa141AzvUIXF4AezS9hqjd5Nuchf3deAHvtr89iJ3agKrb2s3HpR2zwCCszmL4DOL3I6TDLApjfqCxMgKGi9zitsUdSAZuyUbC","descargar bases")</f>
      </c>
    </row>
    <row r="12">
      <c r="A12" s="0" t="inlineStr">
        <is>
          <t xml:space="preserve">1375758-7-LE26</t>
        </is>
      </c>
      <c r="B12" s="4" t="inlineStr">
        <is>
          <t xml:space="preserve">PLATAFORMA INTEGRAL PARA LA PLANIFICACIÓN CONTROL DE DOTACIÓN ESCOLAR Y GESTIÓN DE SOLICITUDES DE CONTRATACIÓN</t>
        </is>
      </c>
      <c r="C12" s="0" t="inlineStr">
        <is>
          <t xml:space="preserve">Publicada</t>
        </is>
      </c>
      <c r="D12" s="0" t="inlineStr">
        <is>
          <t xml:space="preserve">SERVICIO LOCAL DE EDUCACIÓN PÚBLICA SANTIAGO CENTRO</t>
        </is>
      </c>
      <c r="E12" s="0" t="inlineStr">
        <is>
          <t xml:space="preserve">NIVEL CENTRAL SLEP SANTIAGO CENTRO P01</t>
        </is>
      </c>
      <c r="F12" s="0" t="inlineStr">
        <is>
          <t xml:space="preserve">Región Metropolitana de Santiago</t>
        </is>
      </c>
      <c r="G12" s="0" t="inlineStr">
        <is>
          <t xml:space="preserve">Santiago</t>
        </is>
      </c>
      <c r="H12" s="2">
        <v>46301.667361</v>
      </c>
      <c r="I12" s="2">
        <v>46314.6875</v>
      </c>
      <c r="J12" s="0">
        <v>4</v>
      </c>
      <c r="K12" s="3"/>
      <c r="L12" s="0" t="inlineStr">
        <is>
          <t xml:space="preserve">CLP</t>
        </is>
      </c>
      <c r="M12" s="0" t="inlineStr">
        <is>
          <t xml:space="preserve">LE</t>
        </is>
      </c>
      <c r="N12" s="4" t="inlineStr">
        <is>
          <t xml:space="preserve">Servicios basados en ingeniería, ciencias sociales y tecnología de la información / Servicios informáticos / Ingeniería en computación e informática</t>
        </is>
      </c>
      <c r="O12" s="4" t="inlineStr">
        <is>
          <t xml:space="preserve">24 Mes · Desarrollo de Aplicaciones de Recursos Empresariales (ERP)</t>
        </is>
      </c>
      <c r="P12" s="2"/>
      <c r="Q12" s="2"/>
      <c r="R12" s="0" t="inlineStr">
        <is>
          <t xml:space="preserve">24 meses</t>
        </is>
      </c>
      <c r="S12" s="0" t="inlineStr">
        <is>
          <t xml:space="preserve">No</t>
        </is>
      </c>
      <c r="T12" s="4"/>
      <c r="U12" s="0" t="inlineStr">
        <is>
          <t xml:space="preserve">Christian Rivillo</t>
        </is>
      </c>
      <c r="V12" s="4" t="inlineStr">
        <is>
          <t xml:space="preserve">SE REQUEIRE CONTRATAR PLATAFORMA INTEGRAL PARA LA PLANIFICACIÓN, CONTROL DE DOTACIÓN ESCOLAR Y GESTIÓN DE SOLICITUDES DE CONTRATACIÓN, SEGÚN BASES ADJUNTAS, APROBADAS POR RES. EXENTA N°</t>
        </is>
      </c>
      <c r="W12" s="5" t="str">
        <f>HYPERLINK("https://www.mercadopublico.cl/Procurement/Modules/Attachment/ViewAttachment.aspx?enc=OlgoO1zYzfcQjxs0CjRNjSpMPgyGw3RtaQRXfWex%2ftWTT4U1pPBDf6%2bJj%2bds8FJvUTCtlnM9TY8Wez%2fj9cTW34kiE3rcwEFm24N0XYwdF7MQW%2fbXN6aPoF%2fcf%2bda3U8x0vA%2bVI6lKM%2fsDZ1SErHT%2be34XKLcP8RsmOLz1SUbIOXdjN6DC3yCaRKzzBxhUJVuF%2bUqsKaukQj1hXZgKXm71SpQj6DRydfssnfONBds2VFBbydtbJdlDIu%2f7QPa8mr%2bA4tFQnuZPgr0nsLRMy6ezls5Pz8x%2fo2ddSaQba%2fR8yIlNGxIZgGokKtDX6qPADH%2b","descargar bases")</f>
      </c>
    </row>
    <row r="13">
      <c r="A13" s="0" t="inlineStr">
        <is>
          <t xml:space="preserve">2548-94-CO26</t>
        </is>
      </c>
      <c r="B13" s="4" t="inlineStr">
        <is>
          <t xml:space="preserve">PROVISIÓN DE AUDÍFONOS RETROAURICULARES DIGITALES</t>
        </is>
      </c>
      <c r="C13" s="0" t="inlineStr">
        <is>
          <t xml:space="preserve">Publicada</t>
        </is>
      </c>
      <c r="D13" s="0" t="inlineStr">
        <is>
          <t xml:space="preserve">I MUNICIPALIDAD DE PADRE LAS CASAS</t>
        </is>
      </c>
      <c r="E13" s="0" t="inlineStr">
        <is>
          <t xml:space="preserve">MUNICIPALIDAD DE PADRE LAS CASAS  SALUD</t>
        </is>
      </c>
      <c r="F13" s="0" t="inlineStr">
        <is>
          <t xml:space="preserve">Región de la Araucanía </t>
        </is>
      </c>
      <c r="G13" s="0" t="inlineStr">
        <is>
          <t xml:space="preserve">Padre Las Casas</t>
        </is>
      </c>
      <c r="H13" s="2">
        <v>46302.691782</v>
      </c>
      <c r="I13" s="2">
        <v>46314.6875</v>
      </c>
      <c r="J13" s="0">
        <v>4</v>
      </c>
      <c r="K13" s="3">
        <v>29790000.0</v>
      </c>
      <c r="L13" s="0" t="inlineStr">
        <is>
          <t xml:space="preserve">CLP</t>
        </is>
      </c>
      <c r="M13" s="0" t="inlineStr">
        <is>
          <t xml:space="preserve">CO</t>
        </is>
      </c>
      <c r="N13" s="4" t="inlineStr">
        <is>
          <t xml:space="preserve">Equipamiento y suministros médicos / Ayuda para personas con discapacidad / Artículos de ayuda para la comunicación de discapacitados</t>
        </is>
      </c>
      <c r="O13" s="4" t="inlineStr">
        <is>
          <t xml:space="preserve">1 Unidad · Audífonos para personas con discapacidad física</t>
        </is>
      </c>
      <c r="P13" s="2"/>
      <c r="Q13" s="2"/>
      <c r="R13" s="0"/>
      <c r="S13" s="0" t="inlineStr">
        <is>
          <t xml:space="preserve">No</t>
        </is>
      </c>
      <c r="T13" s="4" t="inlineStr">
        <is>
          <t xml:space="preserve">DE ACUERDO A BASES</t>
        </is>
      </c>
      <c r="U13" s="0" t="inlineStr">
        <is>
          <t xml:space="preserve">ESTEFANI LEIVA CASTRO</t>
        </is>
      </c>
      <c r="V13"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13" s="5" t="str">
        <f>HYPERLINK("https://www.mercadopublico.cl/Procurement/Modules/Attachment/ViewAttachment.aspx?enc=GOoBK4vYJgwi7Hz2J99u1JhJ0thOg%2fByQUMUSbAjO86yLZh6bGUI9fUtBs99dT%2fMnsgGNOKsqmaPYuMLtjMKTf7c0l43cHTR8nN7j0z7mPL5zBCUo95%2fdeknsqPohK50AGBjJ8ADZMLQrrNMndYvIQgeMUaH0pDRqANOPZjsgVvJqzBKMQgkYGkhzo9LvXykbaqFNFNRajRecvjYUKVbAyk5TcIjrUP38eTV1dCgsVoEUuD5QE28PDGNO5Aurz8m5U%2bdL0Wq%2b5LZdTbe%2fXMkvzAChLkwvhfzQwv32E9IO9SGZhuzV0IXSzKl4UWws4oJ","descargar bases")</f>
      </c>
    </row>
    <row r="14">
      <c r="A14" s="0" t="inlineStr">
        <is>
          <t xml:space="preserve">1375757-32-LP26</t>
        </is>
      </c>
      <c r="B14" s="4" t="inlineStr">
        <is>
          <t xml:space="preserve">LICENCIAS DE SOFTWARE PARA SLEP DE PUELCHE</t>
        </is>
      </c>
      <c r="C14" s="0" t="inlineStr">
        <is>
          <t xml:space="preserve">Publicada</t>
        </is>
      </c>
      <c r="D14" s="0" t="inlineStr">
        <is>
          <t xml:space="preserve">SERVICIO LOCAL DE EDUCACIÓN PÚBLICA PUELCHE</t>
        </is>
      </c>
      <c r="E14" s="0" t="inlineStr">
        <is>
          <t xml:space="preserve">COMPRAS Y LICITACIONES</t>
        </is>
      </c>
      <c r="F14" s="0" t="inlineStr">
        <is>
          <t xml:space="preserve">Región del Biobío </t>
        </is>
      </c>
      <c r="G14" s="0" t="inlineStr">
        <is>
          <t xml:space="preserve">Santiago</t>
        </is>
      </c>
      <c r="H14" s="2">
        <v>46301.723102</v>
      </c>
      <c r="I14" s="2">
        <v>46314.708333</v>
      </c>
      <c r="J14" s="0">
        <v>4</v>
      </c>
      <c r="K14" s="3">
        <v>101220000.0</v>
      </c>
      <c r="L14" s="0" t="inlineStr">
        <is>
          <t xml:space="preserve">CLP</t>
        </is>
      </c>
      <c r="M14" s="0" t="inlineStr">
        <is>
          <t xml:space="preserve">LP</t>
        </is>
      </c>
      <c r="N14" s="4" t="inlineStr">
        <is>
          <t xml:space="preserve">Tecnologías de la información, telecomunicaciones y radiodifusión / Software / Software de gestión</t>
        </is>
      </c>
      <c r="O14" s="4" t="inlineStr">
        <is>
          <t xml:space="preserve">1 Global · Software de gestión de licencias · 1 Global · Software de gestión de licencias · 1 Global · Software de gestión de licencias · y 10 más</t>
        </is>
      </c>
      <c r="P14" s="2"/>
      <c r="Q14" s="2"/>
      <c r="R14" s="0"/>
      <c r="S14" s="0" t="inlineStr">
        <is>
          <t xml:space="preserve">No</t>
        </is>
      </c>
      <c r="T14" s="4"/>
      <c r="U14" s="0" t="inlineStr">
        <is>
          <t xml:space="preserve">DIEGO ALONSO CORTÉS RODRÍGUEZ</t>
        </is>
      </c>
      <c r="V14" s="4" t="inlineStr">
        <is>
          <t xml:space="preserve">Según bases adjuntas.</t>
        </is>
      </c>
      <c r="W14" s="5" t="str">
        <f>HYPERLINK("https://www.mercadopublico.cl/Procurement/Modules/Attachment/ViewAttachment.aspx?enc=QmeW1GmIK1KhFgptN%2bniCOuJ%2bsrYe%2f5CCV8zt6KDgxC%2baxQfp44iMWS9objNjlgljf3KFlMB1VitkwttjeZap9%2fP1RevgVH13Sc50lDfLTilcIQ2RAp6CgYSrZiOniz95a1OctAtkZiA8leJSd1cEVBzRSkwMkqwOHrFDGgWmw707dBYO0W6ePEfVUeFw1961rw0I7sAIDr8k0rmhBlw7HUBXBSdnBMJf81KhmoF1V4SOOUIGNmzlnhG2ERb%2fCobJ7VNDWXWcCv%2bH%2bvoLU4VwuIECWl3UecxVCs7sWTuYmP7jv99QALhbWSVWmZu0oLu","descargar bases")</f>
      </c>
    </row>
    <row r="15">
      <c r="A15" s="0" t="inlineStr">
        <is>
          <t xml:space="preserve">1389183-71-LE26</t>
        </is>
      </c>
      <c r="B15" s="4" t="inlineStr">
        <is>
          <t xml:space="preserve">PROGRAMAS INFORMATICOS PARA LICEOS TP</t>
        </is>
      </c>
      <c r="C15" s="0" t="inlineStr">
        <is>
          <t xml:space="preserve">Publicada</t>
        </is>
      </c>
      <c r="D15" s="0" t="inlineStr">
        <is>
          <t xml:space="preserve">SERVICIO LOCAL DE EDUCACIÓN PÚBLICA DE ANDALIÉN COSTA</t>
        </is>
      </c>
      <c r="E15" s="0" t="inlineStr">
        <is>
          <t xml:space="preserve">SERVICIO EDUCATIVO ANDALIEN COSTA</t>
        </is>
      </c>
      <c r="F15" s="0" t="inlineStr">
        <is>
          <t xml:space="preserve">Región del Biobío </t>
        </is>
      </c>
      <c r="G15" s="0" t="inlineStr">
        <is>
          <t xml:space="preserve">Coronel</t>
        </is>
      </c>
      <c r="H15" s="2">
        <v>46300.652407</v>
      </c>
      <c r="I15" s="2">
        <v>46314.708333</v>
      </c>
      <c r="J15" s="0">
        <v>4</v>
      </c>
      <c r="K15" s="3">
        <v>9000000.0</v>
      </c>
      <c r="L15" s="0" t="inlineStr">
        <is>
          <t xml:space="preserve">CLP</t>
        </is>
      </c>
      <c r="M15" s="0" t="inlineStr">
        <is>
          <t xml:space="preserve">LE</t>
        </is>
      </c>
      <c r="N15"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15" s="4" t="inlineStr">
        <is>
          <t xml:space="preserve">1 Unidad · Programas de contabilidad · 1 Unidad · Software de gestión de recursos humanos</t>
        </is>
      </c>
      <c r="P15" s="2"/>
      <c r="Q15" s="2"/>
      <c r="R15" s="0"/>
      <c r="S15" s="0" t="inlineStr">
        <is>
          <t xml:space="preserve">No</t>
        </is>
      </c>
      <c r="T15" s="4"/>
      <c r="U15" s="0" t="inlineStr">
        <is>
          <t xml:space="preserve">Ingrid Cortes</t>
        </is>
      </c>
      <c r="V15"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15" s="5" t="str">
        <f>HYPERLINK("https://www.mercadopublico.cl/Procurement/Modules/Attachment/ViewAttachment.aspx?enc=tYKQLk8cdQroSpbrqo2ZHbbSHc63vskgwCQ0QIrZnIoeqDVuc1CN%2bT%2fY3FLIGGjASlnpOLwoe52HVDGH%2fq8i0vnt59%2fbjwKVsp8IOeCknQb%2fQqDNyC7mllwFu53PRBtdDuD%2bH8y3l50b9mBcXM75m%2fEFG2yqFWMhOhbof8Hu%2b%2fyDb4DfCVlrjSvq3rOgqiNfD6HaKhg1EVYAuxL1FRgMxKWVysOCh5014JqTCf6AZ9ro3mgyLMqPgMhN3h47ZW3jz1wAPVugiV%2f8xPkZ7J4eXyAovnu7yxgNRhCOgXcGyOuqQtym6wAchW41T%2fiXe6UL","descargar bases")</f>
      </c>
    </row>
    <row r="16">
      <c r="A16" s="0" t="inlineStr">
        <is>
          <t xml:space="preserve">4455-53-LE26</t>
        </is>
      </c>
      <c r="B16" s="4" t="inlineStr">
        <is>
          <t xml:space="preserve">SERVICIO ARRIENDO DE SOFWARE DE ASISTENCIA CLOUD</t>
        </is>
      </c>
      <c r="C16" s="0" t="inlineStr">
        <is>
          <t xml:space="preserve">Publicada</t>
        </is>
      </c>
      <c r="D16" s="0" t="inlineStr">
        <is>
          <t xml:space="preserve">I MUNICIPALIDAD DE ARAUCO</t>
        </is>
      </c>
      <c r="E16" s="0" t="inlineStr">
        <is>
          <t xml:space="preserve">Ilustre Municipalidad de Arauco - Educación</t>
        </is>
      </c>
      <c r="F16" s="0" t="inlineStr">
        <is>
          <t xml:space="preserve">Región del Biobío </t>
        </is>
      </c>
      <c r="G16" s="0"/>
      <c r="H16" s="2">
        <v>46303.608819</v>
      </c>
      <c r="I16" s="2">
        <v>46314.73125</v>
      </c>
      <c r="J16" s="0">
        <v>4</v>
      </c>
      <c r="K16" s="3"/>
      <c r="L16" s="0" t="inlineStr">
        <is>
          <t xml:space="preserve">CLP</t>
        </is>
      </c>
      <c r="M16" s="0" t="inlineStr">
        <is>
          <t xml:space="preserve">LE</t>
        </is>
      </c>
      <c r="N16" s="4" t="inlineStr">
        <is>
          <t xml:space="preserve">Equipos, accesorios y suministros de oficina / Maquinarias, suministros y accesorios de oficina / Máquinas y accesorios para registro de hora y asistencia en la oficina</t>
        </is>
      </c>
      <c r="O16" s="4" t="inlineStr">
        <is>
          <t xml:space="preserve">1 Unidad · Reloj de control</t>
        </is>
      </c>
      <c r="P16" s="2"/>
      <c r="Q16" s="2"/>
      <c r="R16" s="0" t="inlineStr">
        <is>
          <t xml:space="preserve">14 meses</t>
        </is>
      </c>
      <c r="S16" s="0" t="inlineStr">
        <is>
          <t xml:space="preserve">No</t>
        </is>
      </c>
      <c r="T16" s="4"/>
      <c r="U16" s="0" t="inlineStr">
        <is>
          <t xml:space="preserve">Henry Salazar Pastrana</t>
        </is>
      </c>
      <c r="V16" s="4" t="inlineStr">
        <is>
          <t xml:space="preserve">Servicio Arriendo de SOFTWARE de Asistencia Cloud para Establecimientos Educacionales, Jardines, Salas Cunas de la Comuna y Departamento de Educación Municipal, por 14 meses</t>
        </is>
      </c>
      <c r="W16" s="5" t="str">
        <f>HYPERLINK("https://www.mercadopublico.cl/Procurement/Modules/Attachment/ViewAttachment.aspx?enc=CksxCd2vCJF7IbV9Z0kmhgmv32QNVL6H6pjmvgA17tF8TCk%2bLrHVhqg0WV7KayaSbrDK7JEQ%2bBQEcaaLmebiFsCWut5e6oC4LSBPT04RKeovyCNSaBH4TkXLXDcvBha7dLWVROSEhZausehBEV5nr5PsgbbuDd8NfXnHM%2bYANjK8hEqBcG8O86Md8T5kvVOHXpHb%2btxJ3ufHJmeyZ99wIjbpYlGOIutVDM2KdIMs1qFnMF1Pn1ccRbeieKxt3I1Rj6E7KzcE18wrTYgmsU15cWyKHs9QFYuUWDQl1S9CgYPdsacotRZogI%2fsLGlhsZUY","descargar bases")</f>
      </c>
    </row>
    <row r="17">
      <c r="A17" s="0" t="inlineStr">
        <is>
          <t xml:space="preserve">1230869-7-LE26</t>
        </is>
      </c>
      <c r="B17" s="4" t="inlineStr">
        <is>
          <t xml:space="preserve">SERVICIO DE SOFTWARE DE CONTABILIDAD GUBERNAMENTAL</t>
        </is>
      </c>
      <c r="C17" s="0" t="inlineStr">
        <is>
          <t xml:space="preserve">Publicada</t>
        </is>
      </c>
      <c r="D17" s="0" t="inlineStr">
        <is>
          <t xml:space="preserve">Corporación Cultural de La Florida</t>
        </is>
      </c>
      <c r="E17" s="0" t="inlineStr">
        <is>
          <t xml:space="preserve">Corporación Cultural de La Florida</t>
        </is>
      </c>
      <c r="F17" s="0" t="inlineStr">
        <is>
          <t xml:space="preserve">Región Metropolitana de Santiago</t>
        </is>
      </c>
      <c r="G17" s="0" t="inlineStr">
        <is>
          <t xml:space="preserve">La Florida</t>
        </is>
      </c>
      <c r="H17" s="2">
        <v>46302.551852</v>
      </c>
      <c r="I17" s="2">
        <v>46314.83125</v>
      </c>
      <c r="J17" s="0">
        <v>4</v>
      </c>
      <c r="K17" s="3">
        <v>52800000.0</v>
      </c>
      <c r="L17" s="0" t="inlineStr">
        <is>
          <t xml:space="preserve">CLP</t>
        </is>
      </c>
      <c r="M17" s="0" t="inlineStr">
        <is>
          <t xml:space="preserve">LE</t>
        </is>
      </c>
      <c r="N17" s="4" t="inlineStr">
        <is>
          <t xml:space="preserve">Tecnologías de la información, telecomunicaciones y radiodifusión / Software / Software de planificación de recursos empresariales (ERP) y contabilidad financiera</t>
        </is>
      </c>
      <c r="O17" s="4" t="inlineStr">
        <is>
          <t xml:space="preserve">1 Unidad · Programas de contabilidad</t>
        </is>
      </c>
      <c r="P17" s="2"/>
      <c r="Q17" s="2"/>
      <c r="R17" s="0" t="inlineStr">
        <is>
          <t xml:space="preserve">24 meses</t>
        </is>
      </c>
      <c r="S17" s="0" t="inlineStr">
        <is>
          <t xml:space="preserve">No</t>
        </is>
      </c>
      <c r="T17" s="4" t="inlineStr">
        <is>
          <t xml:space="preserve">No se autoriza la subcontratación.</t>
        </is>
      </c>
      <c r="U17" s="0" t="inlineStr">
        <is>
          <t xml:space="preserve">Carolina Lagos</t>
        </is>
      </c>
      <c r="V17"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17" s="5" t="str">
        <f>HYPERLINK("https://www.mercadopublico.cl/Procurement/Modules/Attachment/ViewAttachment.aspx?enc=PZqVIUtUllXwgJJIHOmF0f5T%2bY1LW1o%2fkwAEzxu5AVB%2fZsY7tM7K%2bhl7CnANxANRCx2VfF7R2B1e57xZuAazaPv%2bJcyERF8OyUp4vu9VWr0e3oBTh978XsyjAcrAg0Y9MK5VgQg5cEdE9BjzsMPBJNGxuoC8f4ZE2twZIyWGXYmyh1GQpYdsE9XFsVm0gNO0j2Fk6wQxBoSEoFMBraPnHFxkan43pL223HT%2fvJ%2bBuePnqWcHfVTfFJMOzLJI6%2bNJjlAQvhVIy7fd%2fK5EepD38T%2foJq57w1hvs0YMpI%2bYhqAmFJgeCYIagx9Yz7dcZBN%2b","descargar bases")</f>
      </c>
    </row>
    <row r="18">
      <c r="A18" s="0" t="inlineStr">
        <is>
          <t xml:space="preserve">1191449-19-LP26</t>
        </is>
      </c>
      <c r="B18" s="4" t="inlineStr">
        <is>
          <t xml:space="preserve">SERVICIOS  DE ADMINIS DE INFRAES CLOUD Y MANTEN AN</t>
        </is>
      </c>
      <c r="C18" s="0" t="inlineStr">
        <is>
          <t xml:space="preserve">Publicada</t>
        </is>
      </c>
      <c r="D18" s="0" t="inlineStr">
        <is>
          <t xml:space="preserve">SERVICIO NACIONAL DEL PATRIMONIO CULTURAL</t>
        </is>
      </c>
      <c r="E18" s="0" t="inlineStr">
        <is>
          <t xml:space="preserve">SUBDIRECCIÓN ARCHIVO NACIONAL DOS</t>
        </is>
      </c>
      <c r="F18" s="0" t="inlineStr">
        <is>
          <t xml:space="preserve">Región Metropolitana de Santiago</t>
        </is>
      </c>
      <c r="G18" s="0" t="inlineStr">
        <is>
          <t xml:space="preserve">Santiago</t>
        </is>
      </c>
      <c r="H18" s="2">
        <v>46294.62088</v>
      </c>
      <c r="I18" s="2">
        <v>46314.833333</v>
      </c>
      <c r="J18" s="0">
        <v>4</v>
      </c>
      <c r="K18" s="3">
        <v>114470000.0</v>
      </c>
      <c r="L18" s="0" t="inlineStr">
        <is>
          <t xml:space="preserve">CLP</t>
        </is>
      </c>
      <c r="M18" s="0" t="inlineStr">
        <is>
          <t xml:space="preserve">LP</t>
        </is>
      </c>
      <c r="N18" s="4" t="inlineStr">
        <is>
          <t xml:space="preserve">Servicios profesionales, administrativos y consultorías de gestión empresarial / Servicios de recursos humanos / Contratación de personal</t>
        </is>
      </c>
      <c r="O18" s="4" t="inlineStr">
        <is>
          <t xml:space="preserve">1 Unidad · Profesionales · 1 Unidad · Profesionales</t>
        </is>
      </c>
      <c r="P18" s="2"/>
      <c r="Q18" s="2"/>
      <c r="R18" s="0" t="inlineStr">
        <is>
          <t xml:space="preserve">12 meses</t>
        </is>
      </c>
      <c r="S18" s="0" t="inlineStr">
        <is>
          <t xml:space="preserve">No</t>
        </is>
      </c>
      <c r="T18"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18" s="0" t="inlineStr">
        <is>
          <t xml:space="preserve">CONSTANZA ACUÑA CERDA</t>
        </is>
      </c>
      <c r="V18" s="4" t="inlineStr">
        <is>
          <t xml:space="preserve">“SERVICIOS PROFESIONALES DE ADMINISTRACIÓN DE INFRAESTRUCTURA CLOUD Y MANTENCIÓN DE SISTEMAS PARA EL ARCHIVO NACIONAL”.</t>
        </is>
      </c>
      <c r="W18" s="5" t="str">
        <f>HYPERLINK("https://www.mercadopublico.cl/Procurement/Modules/Attachment/ViewAttachment.aspx?enc=PXuZR6tsViDq5RrZBhhp3MINeO6Rlt9NuynxKgVxO2QYzeQs5CVv9KXsbsBPhiNjmUhy%2bQs%2fYvQyJj1G9zJULrHd4qPAOVCc21n%2brzZbQ7YqUU5h2YU5Idhv4ohI8p47qaoLj0PvjIJ4dIJYPfxQiusvbTFfIH6imRHE8bBPpYE%2bSgsPgfuYlvUa46rwMpXuoKS0hiuFYw%2b17mjKOAACR9TNh4oTqj7ZOwU4k6UrozPSmBgOijXxIYBMLWMQ0TAzeFoqhb%2fcqrX1NhlmAsqbNfq65TEQRm9mOTFapi%2biUTGHpSQLTVSTh3lX8atumqVS","descargar bases")</f>
      </c>
    </row>
    <row r="19">
      <c r="A19" s="0" t="inlineStr">
        <is>
          <t xml:space="preserve">591-34-LE26</t>
        </is>
      </c>
      <c r="B19" s="4" t="inlineStr">
        <is>
          <t xml:space="preserve">CURSO IA EN INGENIERÍA DE SOFTWARE Y ANALÍTICA  A</t>
        </is>
      </c>
      <c r="C19" s="0" t="inlineStr">
        <is>
          <t xml:space="preserve">Publicada</t>
        </is>
      </c>
      <c r="D19" s="0" t="inlineStr">
        <is>
          <t xml:space="preserve">FONDO NACIONAL DE SALUD</t>
        </is>
      </c>
      <c r="E19" s="0" t="inlineStr">
        <is>
          <t xml:space="preserve">FONASA, Nivel Central</t>
        </is>
      </c>
      <c r="F19" s="0" t="inlineStr">
        <is>
          <t xml:space="preserve">Región Metropolitana de Santiago</t>
        </is>
      </c>
      <c r="G19" s="0"/>
      <c r="H19" s="2">
        <v>46300.676389</v>
      </c>
      <c r="I19" s="2">
        <v>46314.833333</v>
      </c>
      <c r="J19" s="0">
        <v>4</v>
      </c>
      <c r="K19" s="3">
        <v>3000000.0</v>
      </c>
      <c r="L19" s="0" t="inlineStr">
        <is>
          <t xml:space="preserve">CLP</t>
        </is>
      </c>
      <c r="M19" s="0" t="inlineStr">
        <is>
          <t xml:space="preserve">LE</t>
        </is>
      </c>
      <c r="N19" s="4" t="inlineStr">
        <is>
          <t xml:space="preserve">Educación, formación, entrenamiento y capacitación / Sistemas educativos complementarios / Aprendizaje a distancia</t>
        </is>
      </c>
      <c r="O19" s="4" t="inlineStr">
        <is>
          <t xml:space="preserve">1 Unidad · Programas o cursos no diplomados a distancia</t>
        </is>
      </c>
      <c r="P19" s="2"/>
      <c r="Q19" s="2"/>
      <c r="R19" s="0"/>
      <c r="S19" s="0" t="inlineStr">
        <is>
          <t xml:space="preserve">No</t>
        </is>
      </c>
      <c r="T19" s="4" t="inlineStr">
        <is>
          <t xml:space="preserve">Las señaladas en la Resolución.</t>
        </is>
      </c>
      <c r="U19" s="0" t="inlineStr">
        <is>
          <t xml:space="preserve">ISMENIA TUDELA ROJO</t>
        </is>
      </c>
      <c r="V19"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19" s="5" t="str">
        <f>HYPERLINK("https://www.mercadopublico.cl/Procurement/Modules/Attachment/ViewAttachment.aspx?enc=d6y0jSF5DjYY36Te3ZnIsLlIJkhSpnR9J1YZsSY6AdTz0D%2fGtwWR%2fGPobpCH8VEqDi2fAeNCzkqlG0nNAqry5xIivkdcjpaBIfxG96yqNmpKf6isXy1f3vVRRpAtMXEhX2guWAK%2bjoFkNDzahLS1FDI%2fwhMrgan7cVCYKOZuDGdLatfbFA2N0%2beWO0GZx4jiyI1sh1uHltk3m6ER8YGOuOnLQ4j5n9AraFII9hgSRXDs7v8hm6%2fToFvIxymlGfA1P%2fnO5q114B8M0LhlgGIxOilbnivXz8CKxgIH64dwCM5szVh40EEKvqXXwN7IyCeK","descargar bases")</f>
      </c>
    </row>
    <row r="20">
      <c r="A20" s="0" t="inlineStr">
        <is>
          <t xml:space="preserve">1409-15-LE26</t>
        </is>
      </c>
      <c r="B20" s="4" t="inlineStr">
        <is>
          <t xml:space="preserve">Servicio arriendo red de datos e internet</t>
        </is>
      </c>
      <c r="C20" s="0" t="inlineStr">
        <is>
          <t xml:space="preserve">Publicada</t>
        </is>
      </c>
      <c r="D20" s="0" t="inlineStr">
        <is>
          <t xml:space="preserve">DIRECCION GENERAL DE AERONAUTICA CIVIL</t>
        </is>
      </c>
      <c r="E20" s="0" t="inlineStr">
        <is>
          <t xml:space="preserve">UNIDAD DE COMPRA PUERTO MONTT</t>
        </is>
      </c>
      <c r="F20" s="0" t="inlineStr">
        <is>
          <t xml:space="preserve">Región de los Lagos </t>
        </is>
      </c>
      <c r="G20" s="0" t="inlineStr">
        <is>
          <t xml:space="preserve">Puerto Montt</t>
        </is>
      </c>
      <c r="H20" s="2">
        <v>46294.686956</v>
      </c>
      <c r="I20" s="2">
        <v>46315.416667</v>
      </c>
      <c r="J20" s="0">
        <v>5</v>
      </c>
      <c r="K20" s="3"/>
      <c r="L20" s="0" t="inlineStr">
        <is>
          <t xml:space="preserve">CLP</t>
        </is>
      </c>
      <c r="M20" s="0" t="inlineStr">
        <is>
          <t xml:space="preserve">LE</t>
        </is>
      </c>
      <c r="N20" s="4" t="inlineStr">
        <is>
          <t xml:space="preserve">Servicios basados en ingeniería, ciencias sociales y tecnología de la información / Servicios informáticos / Servicios para internet</t>
        </is>
      </c>
      <c r="O20" s="4" t="inlineStr">
        <is>
          <t xml:space="preserve">36 Mes · Proveedores de servicio de Internet (ISP)</t>
        </is>
      </c>
      <c r="P20" s="2"/>
      <c r="Q20" s="2"/>
      <c r="R20" s="0" t="inlineStr">
        <is>
          <t xml:space="preserve">36 meses</t>
        </is>
      </c>
      <c r="S20" s="0" t="inlineStr">
        <is>
          <t xml:space="preserve">No</t>
        </is>
      </c>
      <c r="T20" s="4"/>
      <c r="U20" s="0" t="inlineStr">
        <is>
          <t xml:space="preserve">Rocio Marin Chambla</t>
        </is>
      </c>
      <c r="V20" s="4" t="inlineStr">
        <is>
          <t xml:space="preserve">se requiere contratar el servicio de arriendo red de datos e internet para el aeropuerto el Tepual de Puerto Montt, por un periodo de 36 meses.</t>
        </is>
      </c>
      <c r="W20" s="5" t="str">
        <f>HYPERLINK("https://www.mercadopublico.cl/Procurement/Modules/Attachment/ViewAttachment.aspx?enc=xT0evrOYNxsbl%2bZQlKvysRapkdHQaXkJwG4l6eT6hY4IsODNwwBsBKniwO3W%2fvPurEHO0fXz24T%2bLjYAdhX3E3ztioQedgFVbYa%2fTADHUmJFcsSqlPzfHCdTGpgxsCy4Z2TixvZnjhY54HugUeTkVI8BKIBeKtf5%2fvdj1qL2OIT4xsJD4roKwWFUNknyHlxvjzGMIVUjI3b4YbzsWYjQsvUc2mThg02Rx1wAe12Qj6mujTVGMLjjNQf08AWmQzRBDUpscumrkUo1hOUc2ftOqBSaI%2fqDK%2bgeLJj%2f5Zv6goNWea9DxwqR%2fyP0pe7B09t6","descargar bases")</f>
      </c>
    </row>
    <row r="21">
      <c r="A21" s="0" t="inlineStr">
        <is>
          <t xml:space="preserve">630-29-LE26</t>
        </is>
      </c>
      <c r="B21" s="4" t="inlineStr">
        <is>
          <t xml:space="preserve">SERVICIO DE GESTIÓN DOCUMENTAL EN MODALIDAD SAAS</t>
        </is>
      </c>
      <c r="C21" s="0" t="inlineStr">
        <is>
          <t xml:space="preserve">Publicada</t>
        </is>
      </c>
      <c r="D21" s="0" t="inlineStr">
        <is>
          <t xml:space="preserve">SUBSECRETARIA DEL TRABAJO</t>
        </is>
      </c>
      <c r="E21" s="0" t="inlineStr">
        <is>
          <t xml:space="preserve">Subsecretaria del Trabajo</t>
        </is>
      </c>
      <c r="F21" s="0" t="inlineStr">
        <is>
          <t xml:space="preserve">Región Metropolitana de Santiago</t>
        </is>
      </c>
      <c r="G21" s="0" t="inlineStr">
        <is>
          <t xml:space="preserve">Santiago</t>
        </is>
      </c>
      <c r="H21" s="2">
        <v>46300.575498</v>
      </c>
      <c r="I21" s="2">
        <v>46315.416667</v>
      </c>
      <c r="J21" s="0">
        <v>5</v>
      </c>
      <c r="K21" s="3">
        <v>40000000.0</v>
      </c>
      <c r="L21" s="0" t="inlineStr">
        <is>
          <t xml:space="preserve">CLP</t>
        </is>
      </c>
      <c r="M21" s="0" t="inlineStr">
        <is>
          <t xml:space="preserve">LE</t>
        </is>
      </c>
      <c r="N21" s="4" t="inlineStr">
        <is>
          <t xml:space="preserve">Tecnologías de la información, telecomunicaciones y radiodifusión / Software / Software de gestión de contenidos</t>
        </is>
      </c>
      <c r="O21" s="4" t="inlineStr">
        <is>
          <t xml:space="preserve">1 Unidad · Programas de gestión de documentos</t>
        </is>
      </c>
      <c r="P21" s="2"/>
      <c r="Q21" s="2"/>
      <c r="R21" s="0" t="inlineStr">
        <is>
          <t xml:space="preserve">12 meses</t>
        </is>
      </c>
      <c r="S21" s="0" t="inlineStr">
        <is>
          <t xml:space="preserve">No</t>
        </is>
      </c>
      <c r="T21"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21" s="0" t="inlineStr">
        <is>
          <t xml:space="preserve">JOSÉ VICENTE ELGUETA</t>
        </is>
      </c>
      <c r="V21"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21" s="5" t="str">
        <f>HYPERLINK("https://www.mercadopublico.cl/Procurement/Modules/Attachment/ViewAttachment.aspx?enc=3g2cea4sufUN7afqiLXOeG3bvxg5JSdrmlJNnBy8z0u6PE281q%2fX4fP8XJ%2fJ%2bRPSgM1qwg5ThItn3SmHeEbf9hbtAvuH%2bYoiISVmr%2boPM5w%2fNn6dYk%2f5vWJ3TwM6nKT%2bynl%2bMR%2bJskOBaJxwzL%2fKw9S7tNb%2bwinyZZ65uNXBGYUr1gjTy%2bVbyTD79D%2f2CncjmUHg4YjMj4DAf%2ftmor8HfxAvfD2ZenL4yXDZNDybwRCSPrpejKUf6Tt1r9NNKv%2fWX3qK81t0E%2fJDLVC5sp6c4op3omLZvC5IqZv5qYAY1ZQ3gzEHLIsxNhbpwjRFgAsk","descargar bases")</f>
      </c>
    </row>
    <row r="22">
      <c r="A22" s="0" t="inlineStr">
        <is>
          <t xml:space="preserve">3809-6-LE26</t>
        </is>
      </c>
      <c r="B22" s="4" t="inlineStr">
        <is>
          <t xml:space="preserve">Tecnologias de la Informacion</t>
        </is>
      </c>
      <c r="C22" s="0" t="inlineStr">
        <is>
          <t xml:space="preserve">Publicada</t>
        </is>
      </c>
      <c r="D22" s="0" t="inlineStr">
        <is>
          <t xml:space="preserve">I MUNICIPALIDAD DE PUREN</t>
        </is>
      </c>
      <c r="E22" s="0" t="inlineStr">
        <is>
          <t xml:space="preserve">Depto. Salud</t>
        </is>
      </c>
      <c r="F22" s="0" t="inlineStr">
        <is>
          <t xml:space="preserve">Región de la Araucanía </t>
        </is>
      </c>
      <c r="G22" s="0" t="inlineStr">
        <is>
          <t xml:space="preserve">Purén</t>
        </is>
      </c>
      <c r="H22" s="2">
        <v>46308.549005</v>
      </c>
      <c r="I22" s="2">
        <v>46315.420139</v>
      </c>
      <c r="J22" s="0">
        <v>5</v>
      </c>
      <c r="K22" s="3">
        <v>12000000.0</v>
      </c>
      <c r="L22" s="0" t="inlineStr">
        <is>
          <t xml:space="preserve">CLP</t>
        </is>
      </c>
      <c r="M22" s="0" t="inlineStr">
        <is>
          <t xml:space="preserve">LE</t>
        </is>
      </c>
      <c r="N22" s="4" t="inlineStr">
        <is>
          <t xml:space="preserve">Equipos y suministros de imprenta, fotográficos y audiovisuales / Equipos de composición y presentación audiovisual / Atriles, sistemas de sonido y accesorios, Equipos y suministros de imprenta, fotográficos y audiovisuales / Equipos de composición y presentación audiovisual / Equipo de composición y presentación de sonido, hardware y controladores, Equipos y suministros de imprenta, fotográficos y audiovisuales / Equipos de composición y presentación audiovisual / Proyectores y suministros, Tecnologías de la información, telecomunicaciones y radiodifusión / Dispositivos de comunicaciones y accesorios / Piezas o accesorios de dispositivos de comunicación personal,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22" s="4" t="inlineStr">
        <is>
          <t xml:space="preserve">3 Unidad · Impresoras de chorro de tinta · 1 Unidad · Impresoras de chorro de tinta · 1 Unidad · Computadores personales · y 9 más</t>
        </is>
      </c>
      <c r="P22" s="2"/>
      <c r="Q22" s="2"/>
      <c r="R22" s="0"/>
      <c r="S22" s="0" t="inlineStr">
        <is>
          <t xml:space="preserve">No</t>
        </is>
      </c>
      <c r="T22" s="4"/>
      <c r="U22" s="0" t="inlineStr">
        <is>
          <t xml:space="preserve">Angela Correa Cuevas</t>
        </is>
      </c>
      <c r="V22" s="4" t="inlineStr">
        <is>
          <t xml:space="preserve">La necesidad imperiosa de equipar y renovar el parque tecnológico del Departamento de Salud Municipal DSM de Purén y los centros de salud dependientes, para garantizar la continuidad operativa, administrativa y asistencial en articulación con las orientaciones del Servicio de Salud Araucanía Norte.Todos los bienes ofertados deberán cumplir rigurosamente con las especificaciones.</t>
        </is>
      </c>
      <c r="W22" s="5" t="str">
        <f>HYPERLINK("https://www.mercadopublico.cl/Procurement/Modules/Attachment/ViewAttachment.aspx?enc=e%2fJCdlC5CirFPc6QZreJi1DxGIBiKrNRfvsv4gDxgy%2buFyvDHOMKr%2fX4AqB0VeKX02etmKipdeM43lvkCxnraNT37kQXDUNC1y4Ef84uhlo1xGcKQzB%2fB4FOYIHYxRaDw1XBEB4c%2f34isSjXGxSlY49%2fOwwETCz4Yz8WMhixJ6okVV4H%2bWNTDwTziD0leAbPflTKZjIlwCHEPxlRkoNsfBSA0OjhWi4y90trl7zmv66ao6DCxUND5Dz9KOfNdaa9qfFxPI71OP8%2bDzvYcgbnTJiDwXWYqePVHT9t31L8wxaomyCF2r5bpAxqseta0NTD","descargar bases")</f>
      </c>
    </row>
    <row r="23">
      <c r="A23" s="0" t="inlineStr">
        <is>
          <t xml:space="preserve">29-81-LP26</t>
        </is>
      </c>
      <c r="B23" s="4" t="inlineStr">
        <is>
          <t xml:space="preserve">AGF - PLATAFORMA INGLES</t>
        </is>
      </c>
      <c r="C23" s="0" t="inlineStr">
        <is>
          <t xml:space="preserve">Publicada</t>
        </is>
      </c>
      <c r="D23" s="0" t="inlineStr">
        <is>
          <t xml:space="preserve">FUERZA AEREA DE CHILE COMANDO LOGISTICO</t>
        </is>
      </c>
      <c r="E23" s="0" t="inlineStr">
        <is>
          <t xml:space="preserve">Comando Logístico</t>
        </is>
      </c>
      <c r="F23" s="0" t="inlineStr">
        <is>
          <t xml:space="preserve">Región Metropolitana de Santiago</t>
        </is>
      </c>
      <c r="G23" s="0" t="inlineStr">
        <is>
          <t xml:space="preserve">El Bosque</t>
        </is>
      </c>
      <c r="H23" s="2">
        <v>46276.548611</v>
      </c>
      <c r="I23" s="2">
        <v>46315.5</v>
      </c>
      <c r="J23" s="0">
        <v>5</v>
      </c>
      <c r="K23" s="3"/>
      <c r="L23" s="0" t="inlineStr">
        <is>
          <t xml:space="preserve">USD</t>
        </is>
      </c>
      <c r="M23" s="0" t="inlineStr">
        <is>
          <t xml:space="preserve">LP</t>
        </is>
      </c>
      <c r="N23" s="4" t="inlineStr">
        <is>
          <t xml:space="preserve">Educación, formación, entrenamiento y capacitación / Sistemas educativos complementarios / Escuelas de idiomas</t>
        </is>
      </c>
      <c r="O23" s="4" t="inlineStr">
        <is>
          <t xml:space="preserve">1 Global · Enseñanza conversacional de idiomas extranjeros</t>
        </is>
      </c>
      <c r="P23" s="2"/>
      <c r="Q23" s="2"/>
      <c r="R23" s="0"/>
      <c r="S23" s="0" t="inlineStr">
        <is>
          <t xml:space="preserve">No</t>
        </is>
      </c>
      <c r="T23" s="4"/>
      <c r="U23" s="0" t="inlineStr">
        <is>
          <t xml:space="preserve">PAULO ARELLANO WOLFF</t>
        </is>
      </c>
      <c r="V23" s="4" t="inlineStr">
        <is>
          <t xml:space="preserve">CONTRATACIÓN DE SERVICIO DE PLATAFORMA INTEGRAL DE CAPACITACIÓN EN IDIOMA INGLÉS MODALIDAD E-LEARNING CON TUTORIA</t>
        </is>
      </c>
      <c r="W23" s="5" t="str">
        <f>HYPERLINK("https://www.mercadopublico.cl/Procurement/Modules/Attachment/ViewAttachment.aspx?enc=VwG9Uj5iKujp6ES8bqg5P7UB4V8RdWm0NFW6VPi%2b%2fKYS0cfhsrZEXKGF%2bTveelvYtnPxn9uQthFvO7Jn85kaaz2deWzH%2bK7SfNaXVI7eYzJ9XOaL72x4qwZM3Ip2bGgEPZ7lMyRszE3dhe2IRTIqLKg5Zims0UspaNap26gWMDm8ZiP2PgjJh%2fvRHpq1en9RV92tobVD3TiiEiG6AZfOreHJ13lkZrTqyYR7%2fD%2fE8CxwtdRJcZWMypA%2bbhTjJDL1GFHCTvnUlm7kgrrsc7FGcd0rQqnVS1QbsfK0pFbRw1APGGsWS6RrcAg%2ffTXvJAN5","descargar bases")</f>
      </c>
    </row>
    <row r="24">
      <c r="A24" s="0" t="inlineStr">
        <is>
          <t xml:space="preserve">4160-15-LP26</t>
        </is>
      </c>
      <c r="B24" s="4" t="inlineStr">
        <is>
          <t xml:space="preserve">SERV MANTENIMIENTO TRANSMISION DE DATOS CAMARAS</t>
        </is>
      </c>
      <c r="C24" s="0" t="inlineStr">
        <is>
          <t xml:space="preserve">Publicada</t>
        </is>
      </c>
      <c r="D24" s="0" t="inlineStr">
        <is>
          <t xml:space="preserve">MUNICIPALIDAD DE HUALPEN</t>
        </is>
      </c>
      <c r="E24" s="0" t="inlineStr">
        <is>
          <t xml:space="preserve">Secplan</t>
        </is>
      </c>
      <c r="F24" s="0" t="inlineStr">
        <is>
          <t xml:space="preserve">Región del Biobío </t>
        </is>
      </c>
      <c r="G24" s="0" t="inlineStr">
        <is>
          <t xml:space="preserve">Hualpén</t>
        </is>
      </c>
      <c r="H24" s="2">
        <v>46293.499931</v>
      </c>
      <c r="I24" s="2">
        <v>46315.583333</v>
      </c>
      <c r="J24" s="0">
        <v>5</v>
      </c>
      <c r="K24" s="3"/>
      <c r="L24" s="0" t="inlineStr">
        <is>
          <t xml:space="preserve">CLF</t>
        </is>
      </c>
      <c r="M24" s="0" t="inlineStr">
        <is>
          <t xml:space="preserve">LP</t>
        </is>
      </c>
      <c r="N24" s="4" t="inlineStr">
        <is>
          <t xml:space="preserve">Equipos y suministros de defensa, orden público, protección y seguridad / Seguridad, vigilancia y detección / Equipo de vigilancia y detección</t>
        </is>
      </c>
      <c r="O24" s="4" t="inlineStr">
        <is>
          <t xml:space="preserve">48 Mes · Cámaras de seguridad</t>
        </is>
      </c>
      <c r="P24" s="2"/>
      <c r="Q24" s="2"/>
      <c r="R24" s="0" t="inlineStr">
        <is>
          <t xml:space="preserve">48 meses</t>
        </is>
      </c>
      <c r="S24" s="0" t="inlineStr">
        <is>
          <t xml:space="preserve">No</t>
        </is>
      </c>
      <c r="T24" s="4"/>
      <c r="U24" s="0" t="inlineStr">
        <is>
          <t xml:space="preserve">RENE IBAÑEZ RETAMAL</t>
        </is>
      </c>
      <c r="V24" s="4" t="inlineStr">
        <is>
          <t xml:space="preserve">contratación del “SERVICIO DE MANTENIMIENTO, TRANSMISION DE DATOS CAMARAS DE TELEVIGILANCIA HUALPÉN”, para lo cual se deberá considerar un plazo de prestación del servicio de 48 meses corridos.</t>
        </is>
      </c>
      <c r="W24" s="5" t="str">
        <f>HYPERLINK("https://www.mercadopublico.cl/Procurement/Modules/Attachment/ViewAttachment.aspx?enc=Xt%2ffUdV5pvvS6%2f5owjmhQvTKSCl5N08t1NNm%2bSmUTf95VmOzVG4TJcrNjp8%2fnry2K0h%2fhnQbx1ub5WJer0p4%2bvw7S9NP1VpD9kl9Cbx7V5H6Qw8Bc4%2bngy4VxiV61JpVT51I6P%2bHrjilyHQl%2b%2bssKFMZpG89KzXGAi%2fwZ%2fPAdoJrdu0hC2VSeQp06mdq5dpZf%2bunDinVg5CRfXRZBknx8EcgvboXLIIMl4hqTx3qTcPltX5ajvyp%2fzUOr0%2fXXh0IN%2b038sE2%2bsgqWwC8LaEanW48whP7cmXBPgEt1QVLCvIoq7EoI381cIjDjWX1d1dL","descargar bases")</f>
      </c>
    </row>
    <row r="25">
      <c r="A25" s="0" t="inlineStr">
        <is>
          <t xml:space="preserve">1469-268-L126</t>
        </is>
      </c>
      <c r="B25" s="4" t="inlineStr">
        <is>
          <t xml:space="preserve">Servicios de Difusión Publicitaria en Plataforma Digital Informativa Nacional</t>
        </is>
      </c>
      <c r="C25" s="0" t="inlineStr">
        <is>
          <t xml:space="preserve">Publicada</t>
        </is>
      </c>
      <c r="D25" s="0" t="inlineStr">
        <is>
          <t xml:space="preserve">UNIVERSIDAD DE TALCA</t>
        </is>
      </c>
      <c r="E25" s="0" t="inlineStr">
        <is>
          <t xml:space="preserve">Universidad de Talca</t>
        </is>
      </c>
      <c r="F25" s="0" t="inlineStr">
        <is>
          <t xml:space="preserve">Región del Maule </t>
        </is>
      </c>
      <c r="G25" s="0" t="inlineStr">
        <is>
          <t xml:space="preserve">Talca</t>
        </is>
      </c>
      <c r="H25" s="2">
        <v>46304.770683</v>
      </c>
      <c r="I25" s="2">
        <v>46315.625</v>
      </c>
      <c r="J25" s="0">
        <v>5</v>
      </c>
      <c r="K25" s="3">
        <v>3570000.0</v>
      </c>
      <c r="L25" s="0" t="inlineStr">
        <is>
          <t xml:space="preserve">CLP</t>
        </is>
      </c>
      <c r="M25" s="0" t="inlineStr">
        <is>
          <t xml:space="preserve">L1</t>
        </is>
      </c>
      <c r="N25" s="4" t="inlineStr">
        <is>
          <t xml:space="preserve">Servicios editoriales, de diseño, publicidad, gráficos y artistas / Publicidad / Publicidad en medios no impresos</t>
        </is>
      </c>
      <c r="O25" s="4" t="inlineStr">
        <is>
          <t xml:space="preserve">1 Unidad · Publicidad en Internet</t>
        </is>
      </c>
      <c r="P25" s="2"/>
      <c r="Q25" s="2"/>
      <c r="R25" s="0"/>
      <c r="S25" s="0" t="inlineStr">
        <is>
          <t xml:space="preserve">No</t>
        </is>
      </c>
      <c r="T25" s="4"/>
      <c r="U25" s="0"/>
      <c r="V25" s="4" t="inlineStr">
        <is>
          <t xml:space="preserve">Difundir información de marca de la Universidad de Talca.</t>
        </is>
      </c>
      <c r="W25" s="5" t="str">
        <f>HYPERLINK("https://www.mercadopublico.cl/Procurement/Modules/Attachment/ViewAttachment.aspx?enc=ovS4cjOlf9h9S%2fDjbwWPhimZ3H6tSdILJolsj48XiOeUsPzdXOV4M6lfqpBpWnbUsRnjv03P1pyUTdHSawCC7Y5aOmoD22O4%2fQJfAXUwYzxCe6csZ9eCAzpnwo%2ffyTB8DtfgpElNIbZrATniAKYGNcyBwSYunN8LBjgIWg2Y1I1bEc927J5CkdM7UKJHLID4W2foX4OGrQbvpHviv0HRiBHAH1wdtJJ0twCE4HVzeHdxuYjtPCcEQJaa9orq08c87rpb8i2IcpBbSAh2BQz%2btRqQ3RF3UZ8c35%2f4iKOqG%2bJh8U97woS2OgkTHqsuWxb2","descargar bases")</f>
      </c>
    </row>
    <row r="26">
      <c r="A26" s="0" t="inlineStr">
        <is>
          <t xml:space="preserve">2981-293-LE26</t>
        </is>
      </c>
      <c r="B26" s="4" t="inlineStr">
        <is>
          <t xml:space="preserve">ADQUISICIÓN DE 100 GPS TRACKER CON PLATAFORMA INTEGRADA GEOESPACIAL Y DE TRAZABILIDAD Y SU RESPECTIVO EQUIPAMIENTO EJECUCIÓN DEL PLAN CALLE SIN VIOLENCIA</t>
        </is>
      </c>
      <c r="C26" s="0" t="inlineStr">
        <is>
          <t xml:space="preserve">Publicada</t>
        </is>
      </c>
      <c r="D26" s="0" t="inlineStr">
        <is>
          <t xml:space="preserve">POLICIA DE INVESTIGACIONES DE CHILE</t>
        </is>
      </c>
      <c r="E26" s="0" t="inlineStr">
        <is>
          <t xml:space="preserve">DEPARTAMENTO ADMINISTRATIVO</t>
        </is>
      </c>
      <c r="F26" s="0" t="inlineStr">
        <is>
          <t xml:space="preserve">Región Metropolitana de Santiago</t>
        </is>
      </c>
      <c r="G26" s="0" t="inlineStr">
        <is>
          <t xml:space="preserve">Santiago Centro</t>
        </is>
      </c>
      <c r="H26" s="2">
        <v>46304.491053</v>
      </c>
      <c r="I26" s="2">
        <v>46315.625</v>
      </c>
      <c r="J26" s="0">
        <v>5</v>
      </c>
      <c r="K26" s="3"/>
      <c r="L26" s="0" t="inlineStr">
        <is>
          <t xml:space="preserve">CLP</t>
        </is>
      </c>
      <c r="M26" s="0" t="inlineStr">
        <is>
          <t xml:space="preserve">LE</t>
        </is>
      </c>
      <c r="N26" s="4" t="inlineStr">
        <is>
          <t xml:space="preserve">Muebles, accesorios, electrodomésticos y productos electrónicos / Equipos y accesorios audiovisuales / Equipos audiovisuales y de electrónica menor</t>
        </is>
      </c>
      <c r="O26" s="4" t="inlineStr">
        <is>
          <t xml:space="preserve">100 Unidad · Receptores GPS</t>
        </is>
      </c>
      <c r="P26" s="2"/>
      <c r="Q26" s="2"/>
      <c r="R26" s="0"/>
      <c r="S26" s="0" t="inlineStr">
        <is>
          <t xml:space="preserve">No</t>
        </is>
      </c>
      <c r="T26" s="4" t="inlineStr">
        <is>
          <t xml:space="preserve">SEGÚN ART. 51 DE RESOLEX N°851 DE 08.OCT.026, DEPADM</t>
        </is>
      </c>
      <c r="U26" s="0" t="inlineStr">
        <is>
          <t xml:space="preserve">DAYANA MORI GONZALEZ</t>
        </is>
      </c>
      <c r="V26" s="4" t="inlineStr">
        <is>
          <t xml:space="preserve">ADQUISICIÓN DE 100 GPS TRACKER CON PLATAFORMA INTEGRADA GEOESPACIAL Y DE TRAZABILIDAD Y SU RESPECTIVO EQUIPAMIENTO EJECUCIÓN DEL PLAN CALLE SIN VIOLENCIA</t>
        </is>
      </c>
      <c r="W26" s="5" t="str">
        <f>HYPERLINK("https://www.mercadopublico.cl/Procurement/Modules/Attachment/ViewAttachment.aspx?enc=azhNuhEMWzwLFz4D%2bDheJayhigumJOH%2brAN0xmQyYGBZCYxNWir92T%2fkzHZrVQKgueNcAXrvKGAbtaGSJx8N36BoPiI0V1oLDE2HZUGqBPM6vFwmPoLHi2YgzyLd%2bgbW87gezO1zcCbq2saWqnaSxbWeEjdgjPiq32J7m82cGNK8uq3HyPOSBYRqZinNQZafalGCKfV%2blcH5l4oTMFFrKDekpJi26fCo8jbUn13Aq155nw3WAmdrQ7rby0iQNHy6dWYeCvhsX423VQxsh46X4Jj%2fq8O%2fM1nU9E29q8uBc7lWgz%2bFN1mrOpEqFvLNQ0ji","descargar bases")</f>
      </c>
    </row>
    <row r="27">
      <c r="A27" s="0" t="inlineStr">
        <is>
          <t xml:space="preserve">2122-34-LE26</t>
        </is>
      </c>
      <c r="B27" s="4" t="inlineStr">
        <is>
          <t xml:space="preserve">SOLUCIONES DE INTELIGENCIA ARTIFICIAL</t>
        </is>
      </c>
      <c r="C27" s="0" t="inlineStr">
        <is>
          <t xml:space="preserve">Publicada</t>
        </is>
      </c>
      <c r="D27" s="0" t="inlineStr">
        <is>
          <t xml:space="preserve">SUBSECRETARIA DE SALUD PUBLICA</t>
        </is>
      </c>
      <c r="E27" s="0" t="inlineStr">
        <is>
          <t xml:space="preserve">Seremi de Salud II Región</t>
        </is>
      </c>
      <c r="F27" s="0" t="inlineStr">
        <is>
          <t xml:space="preserve">Región de Antofagasta </t>
        </is>
      </c>
      <c r="G27" s="0" t="inlineStr">
        <is>
          <t xml:space="preserve">Antofagasta</t>
        </is>
      </c>
      <c r="H27" s="2">
        <v>46302.7125</v>
      </c>
      <c r="I27" s="2">
        <v>46315.625</v>
      </c>
      <c r="J27" s="0">
        <v>5</v>
      </c>
      <c r="K27" s="3"/>
      <c r="L27" s="0" t="inlineStr">
        <is>
          <t xml:space="preserve">CLP</t>
        </is>
      </c>
      <c r="M27" s="0" t="inlineStr">
        <is>
          <t xml:space="preserve">LE</t>
        </is>
      </c>
      <c r="N27" s="4" t="inlineStr">
        <is>
          <t xml:space="preserve">Servicios profesionales, administrativos y consultorías de gestión empresarial / Servicios de recursos humanos / Contratación de personal</t>
        </is>
      </c>
      <c r="O27" s="4" t="inlineStr">
        <is>
          <t xml:space="preserve">1 Unidad · Desarrolladores de software</t>
        </is>
      </c>
      <c r="P27" s="2"/>
      <c r="Q27" s="2"/>
      <c r="R27" s="0" t="inlineStr">
        <is>
          <t xml:space="preserve">100 días</t>
        </is>
      </c>
      <c r="S27" s="0" t="inlineStr">
        <is>
          <t xml:space="preserve">No</t>
        </is>
      </c>
      <c r="T27" s="4"/>
      <c r="U27" s="0" t="inlineStr">
        <is>
          <t xml:space="preserve">Crishna Erices</t>
        </is>
      </c>
      <c r="V27"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27" s="5" t="str">
        <f>HYPERLINK("https://www.mercadopublico.cl/Procurement/Modules/Attachment/ViewAttachment.aspx?enc=foGWl79dlefZewxArPy2Se85EqdpVloX1%2b9E%2fZjuipbRrOSpmcFE9pzskqp%2bFVA79T6s%2fNDFOJSI%2fo6I69QOhpzIX3SiS0GNRapNzAjCbS3e2FYpITFhluva4Pcma%2fL592qqxAPkE5phUNN%2bPheZ8SBvtCZBc8ylzgpB5%2fg%2foSWZfPL01mnmLlZuls3nmu4OH1WYamQbvMsnk001SMRsBUf1pBjBovghXJ%2b1BeRog4PjBgzcag2ee%2fwordwGS0Zlu7J1SR%2bXGJ1N83UmNwsDHhiW5x5at3tcjwoTXi7bFeqlx6PNJb3F%2f6R%2bATp%2fRwXS","descargar bases")</f>
      </c>
    </row>
    <row r="28">
      <c r="A28" s="0" t="inlineStr">
        <is>
          <t xml:space="preserve">1107281-6-LE26</t>
        </is>
      </c>
      <c r="B28" s="4" t="inlineStr">
        <is>
          <t xml:space="preserve">COMPRA SOFTWARE COMPATIBLE CON EQUIPO HPLC AGILENT</t>
        </is>
      </c>
      <c r="C28" s="0" t="inlineStr">
        <is>
          <t xml:space="preserve">Publicada</t>
        </is>
      </c>
      <c r="D28" s="0" t="inlineStr">
        <is>
          <t xml:space="preserve">INIA</t>
        </is>
      </c>
      <c r="E28" s="0" t="inlineStr">
        <is>
          <t xml:space="preserve">CARILLANCA</t>
        </is>
      </c>
      <c r="F28" s="0" t="inlineStr">
        <is>
          <t xml:space="preserve">Región de la Araucanía </t>
        </is>
      </c>
      <c r="G28" s="0" t="inlineStr">
        <is>
          <t xml:space="preserve">Vilcún</t>
        </is>
      </c>
      <c r="H28" s="2">
        <v>46304.465972</v>
      </c>
      <c r="I28" s="2">
        <v>46315.629861</v>
      </c>
      <c r="J28" s="0">
        <v>5</v>
      </c>
      <c r="K28" s="3">
        <v>10400000.0</v>
      </c>
      <c r="L28" s="0" t="inlineStr">
        <is>
          <t xml:space="preserve">CLP</t>
        </is>
      </c>
      <c r="M28" s="0" t="inlineStr">
        <is>
          <t xml:space="preserve">LE</t>
        </is>
      </c>
      <c r="N28" s="4" t="inlineStr">
        <is>
          <t xml:space="preserve">Tecnologías de la información, telecomunicaciones y radiodifusión / Software / Programas de desarrollo</t>
        </is>
      </c>
      <c r="O28" s="4" t="inlineStr">
        <is>
          <t xml:space="preserve">1 Unidad · Software de desarrollo de interfaz gráfica de usuario</t>
        </is>
      </c>
      <c r="P28" s="2"/>
      <c r="Q28" s="2"/>
      <c r="R28" s="0"/>
      <c r="S28" s="0" t="inlineStr">
        <is>
          <t xml:space="preserve">No</t>
        </is>
      </c>
      <c r="T28" s="4"/>
      <c r="U28" s="0" t="inlineStr">
        <is>
          <t xml:space="preserve">ALDO MARCELO ARRIAGADA RÍOS</t>
        </is>
      </c>
      <c r="V28"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28" s="5" t="str">
        <f>HYPERLINK("https://www.mercadopublico.cl/Procurement/Modules/Attachment/ViewAttachment.aspx?enc=k6QFz75sAdr85vIX4bPchJ6xLN513ByzHrMpkI7%2bwLaBZ3wdIWp6Eqrzw8CDNkSMcIVUq0LP%2fK4a%2fIzOQ9g5RSV1xzfCsVQR1wjTGHX1VpsqWqGbVSpUXGrKDvVjSjPyXf76q9y7kAe7glUivcVxOJWNTu9ANDLeRFeH1qeXJYPlEetzwlFNOd7akKKRy4OnQ8E2R43yu%2fidpH9TvfSba4t6B%2fcaGMkFJ05P0yIn7cJLGzmc3gFcBkv6Cktyv1KONbvwjyGCieCZvADi%2fuIFIV2vQHxMSzDPW%2f6WnX%2f0NEkC32hwfRwoLBQEUPdx8Lrf","descargar bases")</f>
      </c>
    </row>
    <row r="29">
      <c r="A29" s="0" t="inlineStr">
        <is>
          <t xml:space="preserve">1216085-67-LE26</t>
        </is>
      </c>
      <c r="B29" s="4" t="inlineStr">
        <is>
          <t xml:space="preserve">Adquis. De licencias de software de reloj control.</t>
        </is>
      </c>
      <c r="C29" s="0" t="inlineStr">
        <is>
          <t xml:space="preserve">Publicada</t>
        </is>
      </c>
      <c r="D29" s="0" t="inlineStr">
        <is>
          <t xml:space="preserve">CORP MUNICIPAL PARA EL DESARROLLO SOCIAL</t>
        </is>
      </c>
      <c r="E29" s="0" t="inlineStr">
        <is>
          <t xml:space="preserve">Adquisiciones</t>
        </is>
      </c>
      <c r="F29" s="0" t="inlineStr">
        <is>
          <t xml:space="preserve">Región de Valparaíso </t>
        </is>
      </c>
      <c r="G29" s="0" t="inlineStr">
        <is>
          <t xml:space="preserve">Villa Alemana</t>
        </is>
      </c>
      <c r="H29" s="2">
        <v>46309.651644</v>
      </c>
      <c r="I29" s="2">
        <v>46315.652778</v>
      </c>
      <c r="J29" s="0">
        <v>5</v>
      </c>
      <c r="K29" s="3">
        <v>33613445.0</v>
      </c>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1 Unidad · Software de gestión de recursos humanos</t>
        </is>
      </c>
      <c r="P29" s="2"/>
      <c r="Q29" s="2"/>
      <c r="R29" s="0" t="inlineStr">
        <is>
          <t xml:space="preserve">24 meses</t>
        </is>
      </c>
      <c r="S29" s="0" t="inlineStr">
        <is>
          <t xml:space="preserve">No</t>
        </is>
      </c>
      <c r="T29" s="4" t="inlineStr">
        <is>
          <t xml:space="preserve">Queda expresamente prohibido al adjudicatario subcontratar, ceder o encomendar a terceros el cumplimiento total o parcial de las obligaciones principales derivadas de la presente contratación.
Sin perjuicio de lo anterior, el adjudicatario podrá recurri</t>
        </is>
      </c>
      <c r="U29" s="0" t="inlineStr">
        <is>
          <t xml:space="preserve">Matias Ignacio Ibaceta Estay</t>
        </is>
      </c>
      <c r="V29" s="4" t="inlineStr">
        <is>
          <t xml:space="preserve">Las presentes Bases Administrativas establecen los requerimientos que regirán la contratación de un Sistema Electrónico de Registro y Control de Asistencia y Determinación de las Horas de Trabajo, destinado a los trabajadores de los establecimientos y dependencias de la Corporación Municipal para el Desarrollo Social de Villa Alemana, con el objeto de disponer de una herramienta que permita efectuar el registro, control, gestión y administración de la asistencia y jornada laboral de manera segura, confiable, íntegra, trazable y oportuna.
La contratación comprenderá la provisión de una licencia de software yo plataforma de administración para el sistema de registro y control de asistencia, incluyendo su habilitación, configuración, implementación, parametrización, integración con los relojes biométricos existentes, capacitación, soporte técnico, mantención, actualización y demás servicios necesarios para asegurar la correcta puesta en marcha, operación y continuidad del sistema durante toda la vigencia de la contratación, de acuerdo con las condiciones y especificaciones establecidas en las Bases Técnicas. La contratación no contempla la adquisición de nuevos relojes biométricos.</t>
        </is>
      </c>
      <c r="W29" s="5" t="str">
        <f>HYPERLINK("https://www.mercadopublico.cl/Procurement/Modules/Attachment/ViewAttachment.aspx?enc=JBDJ80Pc6lrJPB61OJo9wxHjylM64WW0e4Y0AnttikRXW7SqYvJqctcFhWmKQd%2ftCQDndvDXMOwoFpw6vgkf%2bd3xFG6tlO67pTEIEpTiV%2bSPE6AdNDXDIkXGlx778Enpsbbigmct8URgQCr8EcYUHtRzRJtQSxiEP%2baDQPt4BATejnTLy7r5DSfBpPH8Ra6r5KeTkMLzIHiZcmBfOReiT36wWqMfMSL6bTt4%2fPAt3G7DSOZHOCRba6pl01kObSbMAUd%2fOmVSxe3yQZbe7YhHWQ05ecEyDFA%2btgp7It0XkO7iduRGgLZ%2bmI66hZwzaVhX","descargar bases")</f>
      </c>
    </row>
    <row r="30">
      <c r="A30" s="0" t="inlineStr">
        <is>
          <t xml:space="preserve">1005498-23-LE26</t>
        </is>
      </c>
      <c r="B30" s="4" t="inlineStr">
        <is>
          <t xml:space="preserve">Servicio de enlace de datos punto a punto alameda-</t>
        </is>
      </c>
      <c r="C30" s="0" t="inlineStr">
        <is>
          <t xml:space="preserve">Publicada</t>
        </is>
      </c>
      <c r="D30" s="0" t="inlineStr">
        <is>
          <t xml:space="preserve">COMISION PARA EL MERCADO FINANCIERO</t>
        </is>
      </c>
      <c r="E30" s="0" t="inlineStr">
        <is>
          <t xml:space="preserve">COMISION PARA EL MERCADO FINANCIERO</t>
        </is>
      </c>
      <c r="F30" s="0" t="inlineStr">
        <is>
          <t xml:space="preserve">Región Metropolitana de Santiago</t>
        </is>
      </c>
      <c r="G30" s="0" t="inlineStr">
        <is>
          <t xml:space="preserve">Santiago Centro</t>
        </is>
      </c>
      <c r="H30" s="2">
        <v>46300.470093</v>
      </c>
      <c r="I30" s="2">
        <v>46315.666667</v>
      </c>
      <c r="J30" s="0">
        <v>5</v>
      </c>
      <c r="K30" s="3">
        <v>16100000.0</v>
      </c>
      <c r="L30" s="0" t="inlineStr">
        <is>
          <t xml:space="preserve">CLP</t>
        </is>
      </c>
      <c r="M30" s="0" t="inlineStr">
        <is>
          <t xml:space="preserve">LE</t>
        </is>
      </c>
      <c r="N30" s="4" t="inlineStr">
        <is>
          <t xml:space="preserve">Servicios básicos y de información pública / Telecomunicaciones / Servicios de telecomunicaciones por circuitos de líneas selectivas y líneas dedicadas arrendadas</t>
        </is>
      </c>
      <c r="O30" s="4" t="inlineStr">
        <is>
          <t xml:space="preserve">1 Unidad · Circuitos de telecomunicaciones digitales punto a punto</t>
        </is>
      </c>
      <c r="P30" s="2"/>
      <c r="Q30" s="2"/>
      <c r="R30" s="0" t="inlineStr">
        <is>
          <t xml:space="preserve">24 meses</t>
        </is>
      </c>
      <c r="S30" s="0" t="inlineStr">
        <is>
          <t xml:space="preserve">No</t>
        </is>
      </c>
      <c r="T30" s="4" t="inlineStr">
        <is>
          <t xml:space="preserve">No se permite.</t>
        </is>
      </c>
      <c r="U30" s="0" t="inlineStr">
        <is>
          <t xml:space="preserve">Jefatura del Departamento de Ingeniería de Sistema</t>
        </is>
      </c>
      <c r="V30"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30" s="5" t="str">
        <f>HYPERLINK("https://www.mercadopublico.cl/Procurement/Modules/Attachment/ViewAttachment.aspx?enc=hq53KFGzNGkepTlkRt0d9lMRfjQvf1REEumNCFkgMeBSeshU8jbVuBEOEZMherwo5dF0OXJMkXMwFFho%2bQCp%2bAvAXVHlSOEDEaJl7Jz01LcAbNGhTZGtrcbzgy%2fRw68NuPLKdVl5dIx9ZlyAYLankR6Y3po9js1zwHXo0%2fyVrzpP2LSTKml%2blSLuZid%2bRH%2f8x%2ft5OkEPQDF4MedXZtBpJI6WL41S3Vu29ESIw31mLLSaSteEKKLEGkS6X%2fLUsFghAs51YOO24YqH7xtTsKS1eLSizBuqGi9T16V48QaxoW%2bQwxqfWnXRmLENDMgn%2bDA5","descargar bases")</f>
      </c>
    </row>
    <row r="31">
      <c r="A31" s="0" t="inlineStr">
        <is>
          <t xml:space="preserve">4469-213-L126</t>
        </is>
      </c>
      <c r="B31" s="4" t="inlineStr">
        <is>
          <t xml:space="preserve">S.C. N° 40675(U.F.), LICENCIA WI FI MERAKI MR ENTERPRISE POR 12 MESES. INFORMÁTICA UPLA. AIUE 2655.</t>
        </is>
      </c>
      <c r="C31" s="0" t="inlineStr">
        <is>
          <t xml:space="preserve">Publicada</t>
        </is>
      </c>
      <c r="D31" s="0" t="inlineStr">
        <is>
          <t xml:space="preserve">UNIVERSIDAD DE PLAYA ANCHA DE CIENCIAS DE LA EDUCACION</t>
        </is>
      </c>
      <c r="E31" s="0" t="inlineStr">
        <is>
          <t xml:space="preserve">ADQUISICIONES</t>
        </is>
      </c>
      <c r="F31" s="0" t="inlineStr">
        <is>
          <t xml:space="preserve">Región Metropolitana de Santiago</t>
        </is>
      </c>
      <c r="G31" s="0" t="inlineStr">
        <is>
          <t xml:space="preserve">Santiago</t>
        </is>
      </c>
      <c r="H31" s="2">
        <v>46303.69044</v>
      </c>
      <c r="I31" s="2">
        <v>46315.666667</v>
      </c>
      <c r="J31" s="0">
        <v>5</v>
      </c>
      <c r="K31" s="3">
        <v>4353541.0</v>
      </c>
      <c r="L31" s="0" t="inlineStr">
        <is>
          <t xml:space="preserve">CLP</t>
        </is>
      </c>
      <c r="M31" s="0" t="inlineStr">
        <is>
          <t xml:space="preserve">L1</t>
        </is>
      </c>
      <c r="N31" s="4" t="inlineStr">
        <is>
          <t xml:space="preserve">Tecnologías de la información, telecomunicaciones y radiodifusión / Software / Software de gestión</t>
        </is>
      </c>
      <c r="O31" s="4" t="inlineStr">
        <is>
          <t xml:space="preserve">49 Unidad · Software de sistema experto</t>
        </is>
      </c>
      <c r="P31" s="2"/>
      <c r="Q31" s="2"/>
      <c r="R31" s="0"/>
      <c r="S31" s="0" t="inlineStr">
        <is>
          <t xml:space="preserve">No</t>
        </is>
      </c>
      <c r="T31" s="4"/>
      <c r="U31" s="0"/>
      <c r="V31" s="4" t="inlineStr">
        <is>
          <t xml:space="preserve">S.C. N° 40675(U.F.), LICENCIA WI FI MERAKI MR ENTERPRISE POR 12 MESES. INFORMÁTICA UPLA. AIUE 2655.</t>
        </is>
      </c>
      <c r="W31" s="5" t="str">
        <f>HYPERLINK("https://www.mercadopublico.cl/Procurement/Modules/Attachment/ViewAttachment.aspx?enc=Tr5MK7hPnmZLjLXZwDp%2bOWPele%2f6jL7Dr2W63CktFIsaZBaRCd7FE%2f5D%2fQGXG6iLgmBhzZKJap%2bhb494%2bRyqLhjGhqubT8YQSYRwZo0fqM%2bsLHq4IFsVC9fRVV9iTGl9TYSABFS3kbzx2%2bUMfHULMhkboe%2bAgeUgF%2fp%2fYgKEUn%2bPAlBwoTEJXfF2s7t6XHdHOrRSfL0RRXmjeYR2EX40C3cBRCPsjj0DnPu%2b0iHyEgKhdyhR%2f9i6i5RPRkYLoXFfhDq25uGMr3ZjN8ZFIP9obR3SyiB1KRdm0TZwA8mCFXg3cADtpc9aVMIN5G%2bI2hgd","descargar bases")</f>
      </c>
    </row>
    <row r="32">
      <c r="A32" s="0" t="inlineStr">
        <is>
          <t xml:space="preserve">1643-91-LP26</t>
        </is>
      </c>
      <c r="B32" s="4" t="inlineStr">
        <is>
          <t xml:space="preserve">SISTEMA INFORMÁTICO ERP</t>
        </is>
      </c>
      <c r="C32" s="0" t="inlineStr">
        <is>
          <t xml:space="preserve">Publicada</t>
        </is>
      </c>
      <c r="D32" s="0" t="inlineStr">
        <is>
          <t xml:space="preserve">SERVICIO NACIONAL DE SALUD HOSPITAL DE T</t>
        </is>
      </c>
      <c r="E32" s="0" t="inlineStr">
        <is>
          <t xml:space="preserve">Hospital de Talagante</t>
        </is>
      </c>
      <c r="F32" s="0" t="inlineStr">
        <is>
          <t xml:space="preserve">Región Metropolitana de Santiago</t>
        </is>
      </c>
      <c r="G32" s="0" t="inlineStr">
        <is>
          <t xml:space="preserve">Talagante</t>
        </is>
      </c>
      <c r="H32" s="2">
        <v>46290.538194</v>
      </c>
      <c r="I32" s="2">
        <v>46315.708333</v>
      </c>
      <c r="J32" s="0">
        <v>5</v>
      </c>
      <c r="K32" s="3">
        <v>320000000.0</v>
      </c>
      <c r="L32" s="0" t="inlineStr">
        <is>
          <t xml:space="preserve">CLP</t>
        </is>
      </c>
      <c r="M32" s="0" t="inlineStr">
        <is>
          <t xml:space="preserve">LP</t>
        </is>
      </c>
      <c r="N32" s="4" t="inlineStr">
        <is>
          <t xml:space="preserve">Tecnologías de la información, telecomunicaciones y radiodifusión / Software / Software de planificación de recursos empresariales (ERP) y contabilidad financiera</t>
        </is>
      </c>
      <c r="O32" s="4" t="inlineStr">
        <is>
          <t xml:space="preserve">1 Unidad · Software de planificación de recursos empresariales (ERP)</t>
        </is>
      </c>
      <c r="P32" s="2"/>
      <c r="Q32" s="2"/>
      <c r="R32" s="0" t="inlineStr">
        <is>
          <t xml:space="preserve">24 meses</t>
        </is>
      </c>
      <c r="S32" s="0" t="inlineStr">
        <is>
          <t xml:space="preserve">No</t>
        </is>
      </c>
      <c r="T32" s="4"/>
      <c r="U32" s="0" t="inlineStr">
        <is>
          <t xml:space="preserve">Paulina Montenegro Aguilera</t>
        </is>
      </c>
      <c r="V32" s="4" t="inlineStr">
        <is>
          <t xml:space="preserve">EL HOSPITAL DE TALAGANTE REQUIERE LA CONTRATACIÓN DEL SERVICIO DE IMPLEMENTACIÓN, MIGRACIÓN, PUESTA EN MARCHA Y EJECUCIÓN DE UN SISTEMA INFORMÁTICO DE GESTIÓN ERP POR 24 MESES.</t>
        </is>
      </c>
      <c r="W32" s="5" t="str">
        <f>HYPERLINK("https://www.mercadopublico.cl/Procurement/Modules/Attachment/ViewAttachment.aspx?enc=FuF3dhpoT8h4CSxA66SVBeHppZ%2bRMVf2SBIJD4c%2bv%2fttbNfsFLY7spYLEmlq3dKK01XmOvIcmR%2b4YnQ%2bPjBfPeiSG5SruwObJfJG58VloiAnQ5zlKPeu5lSLO6I0oSGtQOoAa%2byPi3z3dnaIsvRBKVZQ3p8IYxj%2bGjXF9JLuWXW%2fD%2bZWcQc1QMNFjLVGeZtbVfzUeY%2bUn5%2bFdI%2fJsx2qRuL2OebHfqd8389w1BzIEzFxLTk9ewMfh2FI7zTF3nFazHtx%2b7%2fixlpPx8y2TEApRo0aJkncPcxowpu8op3CepjPtadK1dt9wGhEv9ZVRLfw","descargar bases")</f>
      </c>
    </row>
    <row r="33">
      <c r="A33" s="0" t="inlineStr">
        <is>
          <t xml:space="preserve">5482-94-LP26</t>
        </is>
      </c>
      <c r="B33" s="4" t="inlineStr">
        <is>
          <t xml:space="preserve">SERVICIO DE ARRIENDO MANTENCIÓN Y SOPORTE DE PLATAFORMA DOM</t>
        </is>
      </c>
      <c r="C33" s="0" t="inlineStr">
        <is>
          <t xml:space="preserve">Publicada</t>
        </is>
      </c>
      <c r="D33" s="0" t="inlineStr">
        <is>
          <t xml:space="preserve">I MUNICIPALIDAD DE NUNOA</t>
        </is>
      </c>
      <c r="E33" s="0" t="inlineStr">
        <is>
          <t xml:space="preserve">SECPLANUNOA</t>
        </is>
      </c>
      <c r="F33" s="0" t="inlineStr">
        <is>
          <t xml:space="preserve">Región Metropolitana de Santiago</t>
        </is>
      </c>
      <c r="G33" s="0" t="inlineStr">
        <is>
          <t xml:space="preserve">Ñuñoa</t>
        </is>
      </c>
      <c r="H33" s="2">
        <v>46300.418843</v>
      </c>
      <c r="I33" s="2">
        <v>46315.775</v>
      </c>
      <c r="J33" s="0">
        <v>5</v>
      </c>
      <c r="K33" s="3"/>
      <c r="L33" s="0" t="inlineStr">
        <is>
          <t xml:space="preserve">CLP</t>
        </is>
      </c>
      <c r="M33" s="0" t="inlineStr">
        <is>
          <t xml:space="preserve">LP</t>
        </is>
      </c>
      <c r="N33" s="4" t="inlineStr">
        <is>
          <t xml:space="preserve">Tecnologías de la información, telecomunicaciones y radiodifusión / Software / Programas de desarrollo</t>
        </is>
      </c>
      <c r="O33" s="4" t="inlineStr">
        <is>
          <t xml:space="preserve">1 Unidad · Software de desarrollo de plataforma Web</t>
        </is>
      </c>
      <c r="P33" s="2"/>
      <c r="Q33" s="2"/>
      <c r="R33" s="0" t="inlineStr">
        <is>
          <t xml:space="preserve">36 meses</t>
        </is>
      </c>
      <c r="S33" s="0" t="inlineStr">
        <is>
          <t xml:space="preserve">No</t>
        </is>
      </c>
      <c r="T33" s="4"/>
      <c r="U33" s="0" t="inlineStr">
        <is>
          <t xml:space="preserve">Katherine Ayala</t>
        </is>
      </c>
      <c r="V33"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33" s="5" t="str">
        <f>HYPERLINK("https://www.mercadopublico.cl/Procurement/Modules/Attachment/ViewAttachment.aspx?enc=lS%2flrYrwYgUo%2bQ68TTOYB4rhbL7U4%2fvGViMXqLyo6p%2fGI1pazRC28Zl5R4BCOjbnoy0O9ki5%2fkFe66P4c0qt%2fy1KhP4neFyf%2fd0iVx5fmX%2b7pgr6uk3e3guPo%2bUPXubZr0I4DrLzH5pI9%2f0snS7UjrTjTSM4qrUGxTJjj%2fMDEk9HEfkwEMlMsroOZbHQ39ZKIjBAcGUXrTsAmzBhBr5nonnEvMRx8zV%2bF3pJscxJmrOHRwRIJYoOoZqS5L7DtsF%2ft1SIuIRLVMMZ%2bHDItyyFNqemlhGBrs5vt9D2eLmDTMkzqErsh9wIWPb02AFMpmed","descargar bases")</f>
      </c>
    </row>
    <row r="34">
      <c r="A34" s="0" t="inlineStr">
        <is>
          <t xml:space="preserve">1080094-17-L126</t>
        </is>
      </c>
      <c r="B34" s="4" t="inlineStr">
        <is>
          <t xml:space="preserve">RADIO PORTÁTIL DIGITAL VHF PARA SAMU</t>
        </is>
      </c>
      <c r="C34" s="0" t="inlineStr">
        <is>
          <t xml:space="preserve">Publicada</t>
        </is>
      </c>
      <c r="D34" s="0" t="inlineStr">
        <is>
          <t xml:space="preserve">SERVICIO DE SALUD MAGALLANES</t>
        </is>
      </c>
      <c r="E34" s="0" t="inlineStr">
        <is>
          <t xml:space="preserve">Bienes y servicios - SAMU</t>
        </is>
      </c>
      <c r="F34" s="0" t="inlineStr">
        <is>
          <t xml:space="preserve">Región de Magallanes y de la Antártica</t>
        </is>
      </c>
      <c r="G34" s="0" t="inlineStr">
        <is>
          <t xml:space="preserve">Punta Arenas</t>
        </is>
      </c>
      <c r="H34" s="2">
        <v>46300.674248</v>
      </c>
      <c r="I34" s="2">
        <v>46315.833333</v>
      </c>
      <c r="J34" s="0">
        <v>5</v>
      </c>
      <c r="K34" s="3">
        <v>2707075.0</v>
      </c>
      <c r="L34" s="0" t="inlineStr">
        <is>
          <t xml:space="preserve">CLP</t>
        </is>
      </c>
      <c r="M34" s="0" t="inlineStr">
        <is>
          <t xml:space="preserve">L1</t>
        </is>
      </c>
      <c r="N34" s="4" t="inlineStr">
        <is>
          <t xml:space="preserve">Muebles, accesorios, electrodomésticos y productos electrónicos / Equipos y accesorios audiovisuales / Equipos audiovisuales y de electrónica menor</t>
        </is>
      </c>
      <c r="O34" s="4" t="inlineStr">
        <is>
          <t xml:space="preserve">20 Unidad · Receptores o transmisores de radiofrecuencia</t>
        </is>
      </c>
      <c r="P34" s="2"/>
      <c r="Q34" s="2"/>
      <c r="R34" s="0"/>
      <c r="S34" s="0" t="inlineStr">
        <is>
          <t xml:space="preserve">No</t>
        </is>
      </c>
      <c r="T34" s="4"/>
      <c r="U34" s="0"/>
      <c r="V34"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34" s="5" t="str">
        <f>HYPERLINK("https://www.mercadopublico.cl/Procurement/Modules/Attachment/ViewAttachment.aspx?enc=QSQva%2fOdpkpIPUTSbFMDlkKu3xKu7Wo89jZPscvc2vFAeE1WgG1YeCtA%2fhcuA8cxaUwHLhtSVefCPePAHNs%2b0Z5KlnXGIg4izFEziUmtgGEJyJ9KX1w1harm9iJDKhde5CUa4tspVt3KHSalPzVCLFZRJZu%2b%2b0CMZvjpjRsDlsZYgO3xGkxj3qen8hJsqW3Y1eevGuJAD0k56rd7SvAEtEzOBUYiMRj4MUvBlT9IFtFXc5NznEpIGdhziHNXdfreXa4k4Xy5QL0iVeFLTOMOVIPB4pAdpoR4YquzYNn2t4FmOwVpQYqhOmP7NzFGOZKk","descargar bases")</f>
      </c>
    </row>
    <row r="35">
      <c r="A35" s="0" t="inlineStr">
        <is>
          <t xml:space="preserve">1602-20-LE26</t>
        </is>
      </c>
      <c r="B35" s="4" t="inlineStr">
        <is>
          <t xml:space="preserve">ADQUISICIÓN DE LICENCIAS PARA EQUIPOS DE COMUNICACIONES DE LA RED DE DATOS DE LA DGAC 122 dgv</t>
        </is>
      </c>
      <c r="C35" s="0" t="inlineStr">
        <is>
          <t xml:space="preserve">Publicada</t>
        </is>
      </c>
      <c r="D35" s="0" t="inlineStr">
        <is>
          <t xml:space="preserve">DIRECCION GENERAL DE AERONAUTICA CIVIL</t>
        </is>
      </c>
      <c r="E35" s="0" t="inlineStr">
        <is>
          <t xml:space="preserve">UNIDAD DE COMPRA SERVICIOS GENERALES</t>
        </is>
      </c>
      <c r="F35" s="0" t="inlineStr">
        <is>
          <t xml:space="preserve">Región Metropolitana de Santiago</t>
        </is>
      </c>
      <c r="G35" s="0" t="inlineStr">
        <is>
          <t xml:space="preserve">Providencia</t>
        </is>
      </c>
      <c r="H35" s="2">
        <v>46302.409664</v>
      </c>
      <c r="I35" s="2">
        <v>46316.583333</v>
      </c>
      <c r="J35" s="0">
        <v>6</v>
      </c>
      <c r="K35" s="3">
        <v>50755889.0</v>
      </c>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70 Unidad · Software de gestión de licencias · 70 Unidad · Software de gestión de licencias · 2 Unidad · Software de gestión de licencias</t>
        </is>
      </c>
      <c r="P35" s="2"/>
      <c r="Q35" s="2"/>
      <c r="R35" s="0"/>
      <c r="S35" s="0" t="inlineStr">
        <is>
          <t xml:space="preserve">No</t>
        </is>
      </c>
      <c r="T35" s="4" t="inlineStr">
        <is>
          <t xml:space="preserve">No permite subcontratación
DIRIGIRSE PUNTO: XX DE LA RESOLUCIÓN QUE SE ADJUNTA</t>
        </is>
      </c>
      <c r="U35" s="0" t="inlineStr">
        <is>
          <t xml:space="preserve">Jaime Leighton</t>
        </is>
      </c>
      <c r="V35"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35" s="5" t="str">
        <f>HYPERLINK("https://www.mercadopublico.cl/Procurement/Modules/Attachment/ViewAttachment.aspx?enc=HlRIwpHlJlAaDH%2fNFYxY7NlIqLDNoyUAyYYJXgwbME7EuBbvRJzJZ3JdxBT%2bndi2Z2OTMqZEjk1IRTGW8iykPr1naB81R0fAWDUc7eKDQBYwsc4jfGv1EJUiz6xJ35GORwI9jwWuaKFm2nhaswlMBIsWghm7u%2bkD4KMCzdmA4yZ51YgUHRjdNmD%2bDHyB%2boCG7QctpOLRGL3mApXtWcV%2fgoxLxcjIbIBdpV5RPp9FqHZMmcsuiVgDCAXFmn7mMJJbaqzMdrMzy286rVScTan8V9b7Gt3S3Tj36k4WvKwCRDzKwO5Jw%2fdN7blhsC1lne8a","descargar bases")</f>
      </c>
    </row>
    <row r="36">
      <c r="A36" s="0" t="inlineStr">
        <is>
          <t xml:space="preserve">1153624-24-L126</t>
        </is>
      </c>
      <c r="B36" s="4" t="inlineStr">
        <is>
          <t xml:space="preserve">Servicio de Ordenamiento de Cableado de Datos y Eléctrico en Datacenter y Rack de Comunicaciones</t>
        </is>
      </c>
      <c r="C36" s="0" t="inlineStr">
        <is>
          <t xml:space="preserve">Publicada</t>
        </is>
      </c>
      <c r="D36" s="0" t="inlineStr">
        <is>
          <t xml:space="preserve">SUBSECRETARIA DE RELACIONES ECONOMICAS INTERNACIONALES</t>
        </is>
      </c>
      <c r="E36" s="0" t="inlineStr">
        <is>
          <t xml:space="preserve">Departamento Adquisiciones MN</t>
        </is>
      </c>
      <c r="F36" s="0" t="inlineStr">
        <is>
          <t xml:space="preserve">Región Metropolitana de Santiago</t>
        </is>
      </c>
      <c r="G36" s="0" t="inlineStr">
        <is>
          <t xml:space="preserve">Santiago</t>
        </is>
      </c>
      <c r="H36" s="2">
        <v>46303.678692</v>
      </c>
      <c r="I36" s="2">
        <v>46316.625</v>
      </c>
      <c r="J36" s="0">
        <v>6</v>
      </c>
      <c r="K36" s="3">
        <v>900000.0</v>
      </c>
      <c r="L36" s="0" t="inlineStr">
        <is>
          <t xml:space="preserve">CLP</t>
        </is>
      </c>
      <c r="M36" s="0" t="inlineStr">
        <is>
          <t xml:space="preserve">L1</t>
        </is>
      </c>
      <c r="N36" s="4" t="inlineStr">
        <is>
          <t xml:space="preserve">Tecnologías de la información, telecomunicaciones y radiodifusión / Componentes para tecnología de la información, difusión o telecomunicaciones / Subconjuntos para dispositivos electrónicos</t>
        </is>
      </c>
      <c r="O36" s="4" t="inlineStr">
        <is>
          <t xml:space="preserve">1 Unidad · Conjuntos de cableado</t>
        </is>
      </c>
      <c r="P36" s="2"/>
      <c r="Q36" s="2"/>
      <c r="R36" s="0"/>
      <c r="S36" s="0" t="inlineStr">
        <is>
          <t xml:space="preserve">No</t>
        </is>
      </c>
      <c r="T36" s="4"/>
      <c r="U36" s="0"/>
      <c r="V36"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36" s="5" t="str">
        <f>HYPERLINK("https://www.mercadopublico.cl/Procurement/Modules/Attachment/ViewAttachment.aspx?enc=rBrBwolzfhGrAsUnAG2ymkmmBnSPGTQTmiiAitRnGOWhf%2fgGIjCS94fJOPzdlb9rcUwQU4o%2fnsPponV9wUOwgLRK7Yy8Afftap%2fYNGYrBMiiknW7iw6PWJQ5jES3RlK5OdktcJ%2bCSwbhVQPeJtZqsDyprNWO0NagZo0KYJL0TJseyYKMy6L4D%2bEbDX68KFKTbjxrCIKs%2b6qhBu0z4cHUz0tMTUHJeqn1NENXuNWD4oLxEIufRPH27byLT664Hb%2bHw%2fZYWP0mtm164Opzh1MJDpP1vq2c8g9St0Czmb11sP4Oo79envjYD%2fJgiJysZCKH","descargar bases")</f>
      </c>
    </row>
    <row r="37">
      <c r="A37" s="0" t="inlineStr">
        <is>
          <t xml:space="preserve">688-13-LE26</t>
        </is>
      </c>
      <c r="B37" s="4" t="inlineStr">
        <is>
          <t xml:space="preserve">ADQUISICIÓN Y RENOVACIÓN DE LICENCIAS DE SOFTWARE</t>
        </is>
      </c>
      <c r="C37" s="0" t="inlineStr">
        <is>
          <t xml:space="preserve">Publicada</t>
        </is>
      </c>
      <c r="D37" s="0" t="inlineStr">
        <is>
          <t xml:space="preserve">OFICINA DE ESTUDIOS Y POLITICAS AGRARIAS</t>
        </is>
      </c>
      <c r="E37" s="0" t="inlineStr">
        <is>
          <t xml:space="preserve">OFICINA DE ESTUDIOS Y POLITICAS AGRARIAS</t>
        </is>
      </c>
      <c r="F37" s="0" t="inlineStr">
        <is>
          <t xml:space="preserve">Región Metropolitana de Santiago</t>
        </is>
      </c>
      <c r="G37" s="0" t="inlineStr">
        <is>
          <t xml:space="preserve">Santiago Centro</t>
        </is>
      </c>
      <c r="H37" s="2">
        <v>46309.637801</v>
      </c>
      <c r="I37" s="2">
        <v>46316.625</v>
      </c>
      <c r="J37" s="0">
        <v>6</v>
      </c>
      <c r="K37" s="3"/>
      <c r="L37" s="0" t="inlineStr">
        <is>
          <t xml:space="preserve">CLP</t>
        </is>
      </c>
      <c r="M37" s="0" t="inlineStr">
        <is>
          <t xml:space="preserve">LE</t>
        </is>
      </c>
      <c r="N37" s="4" t="inlineStr">
        <is>
          <t xml:space="preserve">Tecnologías de la información, telecomunicaciones y radiodifusión / Software / Software de gestión</t>
        </is>
      </c>
      <c r="O37" s="4" t="inlineStr">
        <is>
          <t xml:space="preserve">1 Unidad · Software de gestión de licencias · 15 Unidad · Software de gestión de licencias · 20 Unidad · Software de gestión de licencias · y 2 más</t>
        </is>
      </c>
      <c r="P37" s="2"/>
      <c r="Q37" s="2"/>
      <c r="R37" s="0"/>
      <c r="S37" s="0" t="inlineStr">
        <is>
          <t xml:space="preserve">No</t>
        </is>
      </c>
      <c r="T37" s="4"/>
      <c r="U37" s="0" t="inlineStr">
        <is>
          <t xml:space="preserve">Eduardo Bascur Rodríguez</t>
        </is>
      </c>
      <c r="V37" s="4" t="inlineStr">
        <is>
          <t xml:space="preserve">ODEPA utiliza diversas soluciones de software necesarias para la operación de sus plataformas tecnológicas y
el desarrollo de las funciones del servicio. La presente contratación considera la renovación de licencias y
suscripciones actualmente utilizadas, así como la adquisición de licenciamiento adicional para cubrir nuevas
necesidades.
La contratación tiene por finalidad:
Garantizar la continuidad operativa de los productos y servicios actualmente utilizados.
Mantener el acceso a actualizaciones, mejoras de seguridad y soporte, según corresponda, con
actualizaciones y mejoras de seguridad permanentes.
Disponer de licenciamiento vigente y suficiente para las necesidades de la institución.</t>
        </is>
      </c>
      <c r="W37" s="5" t="str">
        <f>HYPERLINK("https://www.mercadopublico.cl/Procurement/Modules/Attachment/ViewAttachment.aspx?enc=LkMjPdnhVGhddzSppV7%2fnf8VG8cxC3HoFo66%2fbuwqEvYQr5P1DYNXivarCoTarFXVwJZLwp%2bPEdq0dSHAFRY4UddR%2bkUSgAJJMCHTAI5jBxBZJoksjWiRLHp5XZFBf%2bwNpYotsw7AtGYvsGz3D7MxAVL4zatj6ZAqu7u1EdLVHpIjtyWHxgg16ZPp6jxHhT%2f6mEJVOqBPRslkkwUkNAyeUhep5uaSEPKwjippUZXLgOwd%2fO4ldNMDf841fQPJ6KM97VdHlD7GhF4o5M%2fNxE1i5bK67x12xZdsairx9%2fbgFa3cr%2bgXQXjRmj3X401gwkL","descargar bases")</f>
      </c>
    </row>
    <row r="38">
      <c r="A38" s="0" t="inlineStr">
        <is>
          <t xml:space="preserve">608897-61-LP26</t>
        </is>
      </c>
      <c r="B38" s="4" t="inlineStr">
        <is>
          <t xml:space="preserve">SOPORTE PLATAFORMAS DE INFORMACIÓN AMBIENTAL BIANUAL</t>
        </is>
      </c>
      <c r="C38" s="0" t="inlineStr">
        <is>
          <t xml:space="preserve">Publicada</t>
        </is>
      </c>
      <c r="D38" s="0" t="inlineStr">
        <is>
          <t xml:space="preserve">SUBSECRETARIA DEL MEDIO AMBIENTE</t>
        </is>
      </c>
      <c r="E38" s="0" t="inlineStr">
        <is>
          <t xml:space="preserve">Subsecretaría del Medio Ambiente</t>
        </is>
      </c>
      <c r="F38" s="0" t="inlineStr">
        <is>
          <t xml:space="preserve">Región Metropolitana de Santiago</t>
        </is>
      </c>
      <c r="G38" s="0" t="inlineStr">
        <is>
          <t xml:space="preserve">Santiago</t>
        </is>
      </c>
      <c r="H38" s="2">
        <v>46296.78</v>
      </c>
      <c r="I38" s="2">
        <v>46316.645833</v>
      </c>
      <c r="J38" s="0">
        <v>6</v>
      </c>
      <c r="K38" s="3">
        <v>100000000.0</v>
      </c>
      <c r="L38" s="0" t="inlineStr">
        <is>
          <t xml:space="preserve">CLP</t>
        </is>
      </c>
      <c r="M38" s="0" t="inlineStr">
        <is>
          <t xml:space="preserve">LP</t>
        </is>
      </c>
      <c r="N38" s="4" t="inlineStr">
        <is>
          <t xml:space="preserve">Servicios medioambientales / Gestión medioambiental / Servicios de asesoría medioambiental</t>
        </is>
      </c>
      <c r="O38" s="4" t="inlineStr">
        <is>
          <t xml:space="preserve">1 Unidad · Servicios de asesoría de tecnología medioambiental</t>
        </is>
      </c>
      <c r="P38" s="2"/>
      <c r="Q38" s="2"/>
      <c r="R38" s="0" t="inlineStr">
        <is>
          <t xml:space="preserve">14 meses</t>
        </is>
      </c>
      <c r="S38" s="0" t="inlineStr">
        <is>
          <t xml:space="preserve">No</t>
        </is>
      </c>
      <c r="T38" s="4" t="inlineStr">
        <is>
          <t xml:space="preserve">De acuerdo a lo indicado en punto 27 de bases de licitación</t>
        </is>
      </c>
      <c r="U38" s="0" t="inlineStr">
        <is>
          <t xml:space="preserve">FERNANDO DIAZ</t>
        </is>
      </c>
      <c r="V38"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38" s="5" t="str">
        <f>HYPERLINK("https://www.mercadopublico.cl/Procurement/Modules/Attachment/ViewAttachment.aspx?enc=XXH3jlxemZE1iKm3bnPgvtig7FcL%2b7pRMn%2bROmGCVM6y1SxFWLY%2bgLfYiD0aM67hGKBhNKweC3QddPOwlyqH5YREjSGbfOLzMM%2fy80P5U6X%2f6zMFW0RhPRWiQRVzvqpf3S9bFZVhdwLdoQHa%2b%2fHMoGXZHpiB%2flMhiYOKI8kGYLWjxSkaBqwBhS5V6fZLmm1R7zTm9WzZgjX%2f2i8HZAkkh3jyJkWEBER21AqBpvnaRuGQpUSFCHqQdbUCFAVDM5m8cwfsLqMhZizFV7lUHdHehxpn4s5zsDBFvbDccb1eJzdRmHdz7dQa4vqUC7ICHXrc","descargar bases")</f>
      </c>
    </row>
    <row r="39">
      <c r="A39" s="0" t="inlineStr">
        <is>
          <t xml:space="preserve">2933-73-LE26</t>
        </is>
      </c>
      <c r="B39" s="4" t="inlineStr">
        <is>
          <t xml:space="preserve">2DO LLAMADO SISTEMA DE INFORMACION Y GESTIÓN 2026</t>
        </is>
      </c>
      <c r="C39" s="0" t="inlineStr">
        <is>
          <t xml:space="preserve">Publicada</t>
        </is>
      </c>
      <c r="D39" s="0" t="inlineStr">
        <is>
          <t xml:space="preserve">I MUNICIPALIDAD DE ALHUE</t>
        </is>
      </c>
      <c r="E39" s="0" t="inlineStr">
        <is>
          <t xml:space="preserve">DPTO. MUNICIPALIDAD</t>
        </is>
      </c>
      <c r="F39" s="0" t="inlineStr">
        <is>
          <t xml:space="preserve">Región Metropolitana de Santiago</t>
        </is>
      </c>
      <c r="G39" s="0" t="inlineStr">
        <is>
          <t xml:space="preserve">Alhué</t>
        </is>
      </c>
      <c r="H39" s="2">
        <v>46309.76853</v>
      </c>
      <c r="I39" s="2">
        <v>46316.6875</v>
      </c>
      <c r="J39" s="0">
        <v>6</v>
      </c>
      <c r="K39" s="3"/>
      <c r="L39" s="0" t="inlineStr">
        <is>
          <t xml:space="preserve">CLP</t>
        </is>
      </c>
      <c r="M39" s="0" t="inlineStr">
        <is>
          <t xml:space="preserve">LE</t>
        </is>
      </c>
      <c r="N39" s="4" t="inlineStr">
        <is>
          <t xml:space="preserve">Tecnologías de la información, telecomunicaciones y radiodifusión / Software / Software de planificación de recursos empresariales (ERP) y contabilidad financiera</t>
        </is>
      </c>
      <c r="O39" s="4" t="inlineStr">
        <is>
          <t xml:space="preserve">1 Unidad · Programas de contabilidad</t>
        </is>
      </c>
      <c r="P39" s="2"/>
      <c r="Q39" s="2"/>
      <c r="R39" s="0"/>
      <c r="S39" s="0" t="inlineStr">
        <is>
          <t xml:space="preserve">No</t>
        </is>
      </c>
      <c r="T39" s="4" t="inlineStr">
        <is>
          <t xml:space="preserve">Según punto 3.4 Bases Administrativas especiales</t>
        </is>
      </c>
      <c r="U39" s="0" t="inlineStr">
        <is>
          <t xml:space="preserve">Arnoldo Llanos Fuentes</t>
        </is>
      </c>
      <c r="V39" s="4" t="inlineStr">
        <is>
          <t xml:space="preserve">El objetivo de la presente licitación es dar solución a las necesidades a las oficinas de Administración y Finanzas, para el buen funcionamiento administrativos de esta área.</t>
        </is>
      </c>
      <c r="W39" s="5" t="str">
        <f>HYPERLINK("https://www.mercadopublico.cl/Procurement/Modules/Attachment/ViewAttachment.aspx?enc=w2V3tfF4jBj7llZusBWDO9xVqPHVSvstupNERQY33qAvJzRRA1ZbIuBBNeCaDlbaZwqzE0BzE6UE6dN%2b57P8CRDXSl9tzx2Wl5UBsHYAnQePLm2Rs61ovWif%2b7E96HE5mwvlmyVJ0Kn1PPvOsR8PI86s3p9SpPOJn4WC%2beCbkKAfNA%2fUW%2fmQzrhWBYQr73cTLoNUGn84Lq8wcXJn72fzLc5HCGXcOsQAIZTG8nKL6Vp6lYEd4o83q8ygOwntmm1VT%2fM2oQQv6H8f1E1HkE7H9GnW1VGzWuUb5I3v3Uc%2fbn84l6GpWg3oa2%2f4Q92geMKu","descargar bases")</f>
      </c>
    </row>
    <row r="40">
      <c r="A40" s="0" t="inlineStr">
        <is>
          <t xml:space="preserve">4086-48-LP26</t>
        </is>
      </c>
      <c r="B40" s="4" t="inlineStr">
        <is>
          <t xml:space="preserve">SERVICIO DE SISTEMA DE INFORMACIÓN DE LA GESTIÓN</t>
        </is>
      </c>
      <c r="C40" s="0" t="inlineStr">
        <is>
          <t xml:space="preserve">Publicada</t>
        </is>
      </c>
      <c r="D40" s="0" t="inlineStr">
        <is>
          <t xml:space="preserve">I MUNICIPALIDAD DE MAULLIN</t>
        </is>
      </c>
      <c r="E40" s="0" t="inlineStr">
        <is>
          <t xml:space="preserve">Administracion y Finanzas</t>
        </is>
      </c>
      <c r="F40" s="0" t="inlineStr">
        <is>
          <t xml:space="preserve">Región de los Lagos </t>
        </is>
      </c>
      <c r="G40" s="0" t="inlineStr">
        <is>
          <t xml:space="preserve">Maullín</t>
        </is>
      </c>
      <c r="H40" s="2">
        <v>46295.670671</v>
      </c>
      <c r="I40" s="2">
        <v>46317.416667</v>
      </c>
      <c r="J40" s="0">
        <v>7</v>
      </c>
      <c r="K40" s="3">
        <v>202800000.0</v>
      </c>
      <c r="L40" s="0" t="inlineStr">
        <is>
          <t xml:space="preserve">CLP</t>
        </is>
      </c>
      <c r="M40" s="0" t="inlineStr">
        <is>
          <t xml:space="preserve">LP</t>
        </is>
      </c>
      <c r="N40" s="4" t="inlineStr">
        <is>
          <t xml:space="preserve">Tecnologías de la información, telecomunicaciones y radiodifusión / Software / Programas de desarrollo</t>
        </is>
      </c>
      <c r="O40" s="4" t="inlineStr">
        <is>
          <t xml:space="preserve">1 Unidad · Programas de gestión de configuración</t>
        </is>
      </c>
      <c r="P40" s="2"/>
      <c r="Q40" s="2"/>
      <c r="R40" s="0" t="inlineStr">
        <is>
          <t xml:space="preserve">60 meses</t>
        </is>
      </c>
      <c r="S40" s="0" t="inlineStr">
        <is>
          <t xml:space="preserve">No</t>
        </is>
      </c>
      <c r="T40" s="4"/>
      <c r="U40" s="0" t="inlineStr">
        <is>
          <t xml:space="preserve">XIMENA OJEDA</t>
        </is>
      </c>
      <c r="V40" s="4" t="inlineStr">
        <is>
          <t xml:space="preserve">SERVICIO DE MANTENCIÓN, ARRIENDO Y PROVISIÓN DE SISTEMA DE INFORMACIÓN DE LA GESTIÓN MUNICIPAL Y SOPORTE COMPUTACIONAL SEGÚN BASES, ESPECIFICACIONES TÉCNICAS, ANEXOS E ITEM ADJUNTOS.</t>
        </is>
      </c>
      <c r="W40" s="5" t="str">
        <f>HYPERLINK("https://www.mercadopublico.cl/Procurement/Modules/Attachment/ViewAttachment.aspx?enc=39L5RMVwBWJ4gJOlEstQ%2bTxU9Cii0GN2Mke4Ik3L%2bqefzKPgm5ePGmzPU9RHJLRGiAFFFHN9lNgFGac04AcBA9E9mZ2xlrTn0APID7ozB%2f%2bnSZ1hYKC9HrBi%2fUjPtii1T2ELOGFi6sW4WItIRx%2fovOy%2fbHnh9WKrOA8Mx48LWZUO5J6L2Mfm8WfsVl66EvpFrwGQ%2bVQELq3hQiBWHJC5pyqBYzulzvHBYAn8IGoONLRg%2fZ0QHgkSRBqylsq%2bBMmjr%2bKwC7APzraLhlFKJSwd6bgvQLEBzCXcxaZdMleuzCwCOt451fOF6ZMvmeGMZ1l2","descargar bases")</f>
      </c>
    </row>
    <row r="41">
      <c r="A41" s="0" t="inlineStr">
        <is>
          <t xml:space="preserve">1469-267-L126</t>
        </is>
      </c>
      <c r="B41" s="4" t="inlineStr">
        <is>
          <t xml:space="preserve">Servicio de Mantenimiento UPS del Centro de Datos en Campus Talca de la Universidad de Talca</t>
        </is>
      </c>
      <c r="C41" s="0" t="inlineStr">
        <is>
          <t xml:space="preserve">Publicada</t>
        </is>
      </c>
      <c r="D41" s="0" t="inlineStr">
        <is>
          <t xml:space="preserve">UNIVERSIDAD DE TALCA</t>
        </is>
      </c>
      <c r="E41" s="0" t="inlineStr">
        <is>
          <t xml:space="preserve">Universidad de Talca</t>
        </is>
      </c>
      <c r="F41" s="0" t="inlineStr">
        <is>
          <t xml:space="preserve">Región del Maule </t>
        </is>
      </c>
      <c r="G41" s="0" t="inlineStr">
        <is>
          <t xml:space="preserve">Talca</t>
        </is>
      </c>
      <c r="H41" s="2">
        <v>46303.7375</v>
      </c>
      <c r="I41" s="2">
        <v>46317.5</v>
      </c>
      <c r="J41" s="0">
        <v>7</v>
      </c>
      <c r="K41" s="3">
        <v>6975100.0</v>
      </c>
      <c r="L41" s="0" t="inlineStr">
        <is>
          <t xml:space="preserve">CLP</t>
        </is>
      </c>
      <c r="M41" s="0" t="inlineStr">
        <is>
          <t xml:space="preserve">L1</t>
        </is>
      </c>
      <c r="N41" s="4" t="inlineStr">
        <is>
          <t xml:space="preserve">Servicios de construcción y mantenimiento / Servicios de atención, mantenimiento y reparaciones de edificios / Servicios eléctricos</t>
        </is>
      </c>
      <c r="O41" s="4" t="inlineStr">
        <is>
          <t xml:space="preserve">1 Unidad · Instalación o servicio de sistemas de energía eléctrica</t>
        </is>
      </c>
      <c r="P41" s="2"/>
      <c r="Q41" s="2"/>
      <c r="R41" s="0"/>
      <c r="S41" s="0" t="inlineStr">
        <is>
          <t xml:space="preserve">No</t>
        </is>
      </c>
      <c r="T41" s="4"/>
      <c r="U41" s="0"/>
      <c r="V41" s="4" t="inlineStr">
        <is>
          <t xml:space="preserve">La Universidad de Talca requiere la realización del servicio de mantenimiento preventivo para la UPS marca Liebert, modelo APM 150K, ubicada en el Centro de Datos, del Campus Talca (Lircay) de la Universidad de Talca.</t>
        </is>
      </c>
      <c r="W41" s="5" t="str">
        <f>HYPERLINK("https://www.mercadopublico.cl/Procurement/Modules/Attachment/ViewAttachment.aspx?enc=kOe2Shp%2fzOUZIDkR%2b%2fqgaymb%2bGTLTUQx6xipGs07CRhdqXtFfDLFmNW8k9ESgHitXVGl%2bWS61k%2buA41qiJRKvlCtKsLtyyh45hGvu%2fqHZ5nmbNWPePuJ5LFEajryrgRTs0GlBnX2SIIjX%2fzN16AFYEbLPNBAA%2fV1zwcdSUDY8dGVewP0HaPd74ny5%2fRunJKhEYAvXbNP3yEx35AWGfrxlaAkAlWZSMK6f8r79FZD7AbQUcxDDcn%2fDmJM%2fMN7%2bSQMm6z1JPiEknaysBn7Xk58%2bRLyXZN2FCS0JcTWrXnOco%2bacBy34Gki936pQKQvE7Uz","descargar bases")</f>
      </c>
    </row>
    <row r="42">
      <c r="A42" s="0" t="inlineStr">
        <is>
          <t xml:space="preserve">617807-79-B226</t>
        </is>
      </c>
      <c r="B42" s="4" t="inlineStr">
        <is>
          <t xml:space="preserve">SERVICIO DE MANTENCIÓN PREVENTIVA Y REPARATIVA DE EQUIPOS DE RAYOS X DIGITAL ARCO C PARA EL HOSPITAL SAN JUAN DE DIOS DE LOS ANDES</t>
        </is>
      </c>
      <c r="C42" s="0" t="inlineStr">
        <is>
          <t xml:space="preserve">Publicada</t>
        </is>
      </c>
      <c r="D42" s="0" t="inlineStr">
        <is>
          <t xml:space="preserve">SERV NAC SALUD HOSPITAL DE LOS ANDES</t>
        </is>
      </c>
      <c r="E42" s="0" t="inlineStr">
        <is>
          <t xml:space="preserve">Hospital San Juan de Dios de Los Andes</t>
        </is>
      </c>
      <c r="F42" s="0" t="inlineStr">
        <is>
          <t xml:space="preserve">Región de Valparaíso </t>
        </is>
      </c>
      <c r="G42" s="0" t="inlineStr">
        <is>
          <t xml:space="preserve">Los Andes</t>
        </is>
      </c>
      <c r="H42" s="2">
        <v>46297.633194</v>
      </c>
      <c r="I42" s="2">
        <v>46317.625</v>
      </c>
      <c r="J42" s="0">
        <v>7</v>
      </c>
      <c r="K42" s="3"/>
      <c r="L42" s="0" t="inlineStr">
        <is>
          <t xml:space="preserve">CLP</t>
        </is>
      </c>
      <c r="M42" s="0" t="inlineStr">
        <is>
          <t xml:space="preserve">B2</t>
        </is>
      </c>
      <c r="N42" s="4" t="inlineStr">
        <is>
          <t xml:space="preserve">Servicios de producción y fabricación industrial / Servicios de apoyo o soporte a la fabricación / Servicios de mantenimiento y reparación de equipo de fabricación</t>
        </is>
      </c>
      <c r="O42" s="4" t="inlineStr">
        <is>
          <t xml:space="preserve">1 Unidad · Servicio de mantenimiento de equipo de fabricación</t>
        </is>
      </c>
      <c r="P42" s="2"/>
      <c r="Q42" s="2"/>
      <c r="R42" s="0" t="inlineStr">
        <is>
          <t xml:space="preserve">36 meses</t>
        </is>
      </c>
      <c r="S42" s="0" t="inlineStr">
        <is>
          <t xml:space="preserve">No</t>
        </is>
      </c>
      <c r="T42" s="4"/>
      <c r="U42" s="0" t="inlineStr">
        <is>
          <t xml:space="preserve">MARCIA MANDIOLA GOMEZ</t>
        </is>
      </c>
      <c r="V42"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42" s="5" t="str">
        <f>HYPERLINK("https://www.mercadopublico.cl/Procurement/Modules/Attachment/ViewAttachment.aspx?enc=7ildoFlahh2EjBc7GSeBdwIbKsQ%2frtP00Yw1%2fqAv%2bUopAgN%2bGHgTDkrvjs4IzmaOUWPc%2fNT54B13AW4K6Gz8XyvMqCOD6Jsz6VDc583%2fbuQnowRIUX6j2uNteVaXYSAlFoIrdD2tcUVmTpTIKNF2f5e54wRSw5XVpIDPuKhUwJSq7dXFT%2fJoRj6MhpC%2bSLNdxNTlpMY4FQdm6r0aEj8sU2rq6bqmPsQ%2bA2E5HVDjRBIdFD2VdDhRjL4TyjC6DEtmje4iKZiko5W15y6nm3pdxXdzPfX1VOPGYdQwd9HHN%2fcqLQ%2bz%2bZkUAvENgzH0q2ir","descargar bases")</f>
      </c>
    </row>
    <row r="43">
      <c r="A43" s="0" t="inlineStr">
        <is>
          <t xml:space="preserve">1606-34-LE26</t>
        </is>
      </c>
      <c r="B43" s="4" t="inlineStr">
        <is>
          <t xml:space="preserve">Consultoría para la digitalización de rutas de taxis colectivos. Proyecto Apoyo a la estrategia Chilena de transporte sostenible - CLETS Financiado por la GEF e implementado por CAF</t>
        </is>
      </c>
      <c r="C43" s="0" t="inlineStr">
        <is>
          <t xml:space="preserve">Publicada</t>
        </is>
      </c>
      <c r="D43" s="0" t="inlineStr">
        <is>
          <t xml:space="preserve">AGENCIA CHILENA DE COOPERACION INTERNACIONAL PARA EL DESARROLLO</t>
        </is>
      </c>
      <c r="E43" s="0" t="inlineStr">
        <is>
          <t xml:space="preserve">AGCID</t>
        </is>
      </c>
      <c r="F43" s="0" t="inlineStr">
        <is>
          <t xml:space="preserve">Región Metropolitana de Santiago</t>
        </is>
      </c>
      <c r="G43" s="0" t="inlineStr">
        <is>
          <t xml:space="preserve">Santiago</t>
        </is>
      </c>
      <c r="H43" s="2">
        <v>46303.531296</v>
      </c>
      <c r="I43" s="2">
        <v>46317.625</v>
      </c>
      <c r="J43" s="0">
        <v>7</v>
      </c>
      <c r="K43" s="3">
        <v>20000.0</v>
      </c>
      <c r="L43" s="0" t="inlineStr">
        <is>
          <t xml:space="preserve">USD</t>
        </is>
      </c>
      <c r="M43" s="0" t="inlineStr">
        <is>
          <t xml:space="preserve">LE</t>
        </is>
      </c>
      <c r="N43" s="4" t="inlineStr">
        <is>
          <t xml:space="preserve">Servicios profesionales, administrativos y consultorías de gestión empresarial / Consultorías o asesorías en gestión empresarial / Servicios de consultoría en gestión de empresas</t>
        </is>
      </c>
      <c r="O43" s="4" t="inlineStr">
        <is>
          <t xml:space="preserve">1 Unidad · Asesorías en planificación estratégica</t>
        </is>
      </c>
      <c r="P43" s="2"/>
      <c r="Q43" s="2"/>
      <c r="R43" s="0" t="inlineStr">
        <is>
          <t xml:space="preserve">7 meses</t>
        </is>
      </c>
      <c r="S43" s="0" t="inlineStr">
        <is>
          <t xml:space="preserve">No</t>
        </is>
      </c>
      <c r="T43" s="4" t="inlineStr">
        <is>
          <t xml:space="preserve">Según numeral 11.8 de Cesión y subcontratación de la Resolución Exenta de AGCID 305, de fecha 07 de octubre del 2026</t>
        </is>
      </c>
      <c r="U43" s="0" t="inlineStr">
        <is>
          <t xml:space="preserve">Paula Krautz Vargas</t>
        </is>
      </c>
      <c r="V43"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43" s="5" t="str">
        <f>HYPERLINK("https://www.mercadopublico.cl/Procurement/Modules/Attachment/ViewAttachment.aspx?enc=6rbTst9NzOXh5PMrtu1TLfqhF8I%2bYXPRUvqXR8LneOMQkJPJ%2flMYZHMD0j75q5k9PvOdAy7AXAEMGeS%2fdBD8G8tiwGchT8PxrbQSdNsl7wOS13e1c0u8prr3uTbwmTIHB%2f6910GqLCh%2bmC3f1KwAgaLDeYljg%2bDIrcxVnMDjNZK7xdX7gI%2fVSTMZklJW3nWVI7p2ytNv2bWxKaxBgEWfGPVUADGrmZp58%2f9%2bvU1YrDRf5J3V%2ftHjh9KW7vYgpMJDLF2%2bbWkW7pE%2fEWBPbW7KLEmmViibZZiNl7fAk7kpaA3pqD6daOgY6jamkJJdgmIU","descargar bases")</f>
      </c>
    </row>
    <row r="44">
      <c r="A44" s="0" t="inlineStr">
        <is>
          <t xml:space="preserve">1461054-45-LP26</t>
        </is>
      </c>
      <c r="B44" s="4" t="inlineStr">
        <is>
          <t xml:space="preserve">PLATAFORMA DE GESTIÓN EDUCACIONAL PARA 77 E.E</t>
        </is>
      </c>
      <c r="C44" s="0" t="inlineStr">
        <is>
          <t xml:space="preserve">Publicada</t>
        </is>
      </c>
      <c r="D44" s="0" t="inlineStr">
        <is>
          <t xml:space="preserve">SERVICIO LOCAL DE EDUCACIÓN PÚBLICA DEL ELQUI</t>
        </is>
      </c>
      <c r="E44" s="0" t="inlineStr">
        <is>
          <t xml:space="preserve">P02 Establecimientos Educacionales</t>
        </is>
      </c>
      <c r="F44" s="0" t="inlineStr">
        <is>
          <t xml:space="preserve">Región de Coquimbo </t>
        </is>
      </c>
      <c r="G44" s="0" t="inlineStr">
        <is>
          <t xml:space="preserve">La Serena</t>
        </is>
      </c>
      <c r="H44" s="2">
        <v>46288.638889</v>
      </c>
      <c r="I44" s="2">
        <v>46317.645833</v>
      </c>
      <c r="J44" s="0">
        <v>7</v>
      </c>
      <c r="K44" s="3">
        <v>290234736.0</v>
      </c>
      <c r="L44" s="0" t="inlineStr">
        <is>
          <t xml:space="preserve">CLP</t>
        </is>
      </c>
      <c r="M44" s="0" t="inlineStr">
        <is>
          <t xml:space="preserve">LP</t>
        </is>
      </c>
      <c r="N44" s="4" t="inlineStr">
        <is>
          <t xml:space="preserve">Tecnologías de la información, telecomunicaciones y radiodifusión / Software / Software de consultas y gestión de datos</t>
        </is>
      </c>
      <c r="O44" s="4" t="inlineStr">
        <is>
          <t xml:space="preserve">1 Unidad · Software del sistema de administración de bases de datos</t>
        </is>
      </c>
      <c r="P44" s="2"/>
      <c r="Q44" s="2"/>
      <c r="R44" s="0" t="inlineStr">
        <is>
          <t xml:space="preserve">36 meses</t>
        </is>
      </c>
      <c r="S44" s="0" t="inlineStr">
        <is>
          <t xml:space="preserve">No</t>
        </is>
      </c>
      <c r="T44"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44" s="0" t="inlineStr">
        <is>
          <t xml:space="preserve">Francisca Pérez García</t>
        </is>
      </c>
      <c r="V44"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44" s="5" t="str">
        <f>HYPERLINK("https://www.mercadopublico.cl/Procurement/Modules/Attachment/ViewAttachment.aspx?enc=Y%2bemeJYsmMqaiPKxM9tMQMfp%2ffUEyOvKSYP6n%2bDqppt3xwK5nTmighZtbN%2fRr0KdV01ptyX5jHQDl8bcqyoP%2bScHeFGn3OFnFd%2bdvLPJpKvRPiwg239OYU9biS2GG03FIY8ZAeqT6UAJoCoqEIO7z1WoFmdcS7uau9dglzct13uQDpwlNAu8xcqNZpYHudxbj7gL%2fN6Z%2bzhZYd16OllVh0zBUvDEsfla01dkf9OLJZ3TM%2b9caSva0vLmFRBQ4gV8tYe5RCKoadxs0QuAatdCiubBoTL1gri8JDU2xuJe3Gpzqxjj%2bl5Fi%2f4qEqh4tKKw","descargar bases")</f>
      </c>
    </row>
    <row r="45">
      <c r="A45" s="0" t="inlineStr">
        <is>
          <t xml:space="preserve">948354-140-LR26</t>
        </is>
      </c>
      <c r="B45" s="4" t="inlineStr">
        <is>
          <t xml:space="preserve">CONTRATACIÓN DE UNA SOLUCIÓN INTEGRAL RIS-PACS INCLUYENDO LA PROVISIÓN DE SERVICIOS SOFTWARE HARDWARE E INFRAESTRUCTURA TECNOLÓGICA PARA EL SERVICIO DE IMAGENOLOGÍA DEL HOSPITAL DIPRECA</t>
        </is>
      </c>
      <c r="C45" s="0" t="inlineStr">
        <is>
          <t xml:space="preserve">Publicada</t>
        </is>
      </c>
      <c r="D45" s="0" t="inlineStr">
        <is>
          <t xml:space="preserve">FONDO HOSPITAL DE LA DIRECCION DE PREVISION DE CARABINEROS DE CHILE</t>
        </is>
      </c>
      <c r="E45" s="0" t="inlineStr">
        <is>
          <t xml:space="preserve">Unidad de Compra de Bienes y Servicios</t>
        </is>
      </c>
      <c r="F45" s="0" t="inlineStr">
        <is>
          <t xml:space="preserve">Región Metropolitana de Santiago</t>
        </is>
      </c>
      <c r="G45" s="0" t="inlineStr">
        <is>
          <t xml:space="preserve">Las Condes</t>
        </is>
      </c>
      <c r="H45" s="2">
        <v>46287.400255</v>
      </c>
      <c r="I45" s="2">
        <v>46317.666667</v>
      </c>
      <c r="J45" s="0">
        <v>7</v>
      </c>
      <c r="K45" s="3">
        <v>3310000000.0</v>
      </c>
      <c r="L45" s="0" t="inlineStr">
        <is>
          <t xml:space="preserve">CLP</t>
        </is>
      </c>
      <c r="M45" s="0" t="inlineStr">
        <is>
          <t xml:space="preserve">LR</t>
        </is>
      </c>
      <c r="N45" s="4" t="inlineStr">
        <is>
          <t xml:space="preserve">Equipamiento y suministros médicos / Productos para imágenes y de medicina nuclear / Artículos para archivar información e imágenes radiológicas</t>
        </is>
      </c>
      <c r="O45" s="4" t="inlineStr">
        <is>
          <t xml:space="preserve">60 Mes · Sistemas informatizados de archivado de imágenes (PACS) médicos</t>
        </is>
      </c>
      <c r="P45" s="2"/>
      <c r="Q45" s="2"/>
      <c r="R45" s="0" t="inlineStr">
        <is>
          <t xml:space="preserve">60 meses</t>
        </is>
      </c>
      <c r="S45" s="0" t="inlineStr">
        <is>
          <t xml:space="preserve">No</t>
        </is>
      </c>
      <c r="T45" s="4"/>
      <c r="U45" s="0" t="inlineStr">
        <is>
          <t xml:space="preserve">Dra. Constanza Damm Araneda</t>
        </is>
      </c>
      <c r="V45"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45" s="5" t="str">
        <f>HYPERLINK("https://www.mercadopublico.cl/Procurement/Modules/Attachment/ViewAttachment.aspx?enc=UJKZ4slewu%2fdgaS6jQ%2f8q9IZZXwH3kFZk0Tt%2boTgxEfKmpNN3Q%2fHXj%2f9hBzB6%2fhN0Fg%2f0DD8qSvHdw5tGvz%2f1nfN%2fblVJXET7QI4CIENWgjfTWq8i7n4wBtPkpMBUgfyqCPrX4jVavo6tTzBLmVVzZ%2bfMJ8UwDJ5mMMb9GtWCFpLcOU%2fErjVn1lqo2VzDshhVjbkILgyccjVfTUNB%2fgz8Q5VVnHVEKgJb8JlOjmgcSF6pCju0ewiHkoxbf7CgOPnll4VORYVRSz2k3xQDsqeF2JDJh3R0oCguMqFIVn2hqIDdK9nuzvcryG9ZtLLptF%2b","descargar bases")</f>
      </c>
    </row>
    <row r="46">
      <c r="A46" s="0" t="inlineStr">
        <is>
          <t xml:space="preserve">3348-9-LE26</t>
        </is>
      </c>
      <c r="B46" s="4" t="inlineStr">
        <is>
          <t xml:space="preserve">Servicio de Arriendo de Tótem Gestor de Filas</t>
        </is>
      </c>
      <c r="C46" s="0" t="inlineStr">
        <is>
          <t xml:space="preserve">Publicada</t>
        </is>
      </c>
      <c r="D46" s="0" t="inlineStr">
        <is>
          <t xml:space="preserve">DIVISION LOGISTICA DEL EJERCITO</t>
        </is>
      </c>
      <c r="E46" s="0" t="inlineStr">
        <is>
          <t xml:space="preserve">Centro Clínico Militar "Arica"</t>
        </is>
      </c>
      <c r="F46" s="0" t="inlineStr">
        <is>
          <t xml:space="preserve">Región de Arica y Parinacota</t>
        </is>
      </c>
      <c r="G46" s="0" t="inlineStr">
        <is>
          <t xml:space="preserve">Arica</t>
        </is>
      </c>
      <c r="H46" s="2">
        <v>46302.699063</v>
      </c>
      <c r="I46" s="2">
        <v>46317.666667</v>
      </c>
      <c r="J46" s="0">
        <v>7</v>
      </c>
      <c r="K46" s="3">
        <v>7200000.0</v>
      </c>
      <c r="L46" s="0" t="inlineStr">
        <is>
          <t xml:space="preserve">CLP</t>
        </is>
      </c>
      <c r="M46" s="0" t="inlineStr">
        <is>
          <t xml:space="preserve">LE</t>
        </is>
      </c>
      <c r="N46" s="4" t="inlineStr">
        <is>
          <t xml:space="preserve">Tecnologías de la información, telecomunicaciones y radiodifusión / Equipos informáticos y accesorios / Pantallas o monitores de computador</t>
        </is>
      </c>
      <c r="O46" s="4" t="inlineStr">
        <is>
          <t xml:space="preserve">1 Unidad · Monitores de pantalla táctil</t>
        </is>
      </c>
      <c r="P46" s="2"/>
      <c r="Q46" s="2"/>
      <c r="R46" s="0" t="inlineStr">
        <is>
          <t xml:space="preserve">24 meses</t>
        </is>
      </c>
      <c r="S46" s="0" t="inlineStr">
        <is>
          <t xml:space="preserve">No</t>
        </is>
      </c>
      <c r="T46"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46" s="0" t="inlineStr">
        <is>
          <t xml:space="preserve">Victor Gomez Vuch</t>
        </is>
      </c>
      <c r="V46" s="4" t="inlineStr">
        <is>
          <t xml:space="preserve">Contratar el “Servicio de arriendo de tótem gestor de filas” a 24 meses de duración, para la gestión de filas de atención del hall del servicio de medicina de esta Instalación de Salud.</t>
        </is>
      </c>
      <c r="W46" s="5" t="str">
        <f>HYPERLINK("https://www.mercadopublico.cl/Procurement/Modules/Attachment/ViewAttachment.aspx?enc=PvM1irnT3%2bDf4MuV9Jc0mjUY3n5bSpaC%2bN7UzdGcg7fpMTiDu0zxYjZhOyVoo8DqklAWS%2fSPBmq2TiJVwuJuOd%2fdZwMHzz%2bEeTjwfo09bQ8ZLZXf0HNyFifQyh5qFVi1db%2fbiU21GxbnFZEi6475PZ9WN5t7L4hFTjiPPBzlYFkGo%2fTdmi3VcBU7AIpV4gK6onhqThBHv433K9F4Z72rbhKww8K4%2fzy0A5GQTWASi9BtlSDg0BosMUwcIiNgWk5sIwABuubI4dOBk7Et4eRWqm5hsw%2fm4jce%2byrYEFDp8hK98EAEiJpuREVveGikH6Ux","descargar bases")</f>
      </c>
    </row>
    <row r="47">
      <c r="A47" s="0" t="inlineStr">
        <is>
          <t xml:space="preserve">425-67-LE26</t>
        </is>
      </c>
      <c r="B47" s="4" t="inlineStr">
        <is>
          <t xml:space="preserve">Software de seguridad extendida y Ciberdefensa</t>
        </is>
      </c>
      <c r="C47" s="0" t="inlineStr">
        <is>
          <t xml:space="preserve">Publicada</t>
        </is>
      </c>
      <c r="D47" s="0" t="inlineStr">
        <is>
          <t xml:space="preserve">CORP ADMINISTRATIVA DEL PODER JUDICIAL</t>
        </is>
      </c>
      <c r="E47" s="0" t="inlineStr">
        <is>
          <t xml:space="preserve">Servicios</t>
        </is>
      </c>
      <c r="F47" s="0" t="inlineStr">
        <is>
          <t xml:space="preserve">Región Metropolitana de Santiago</t>
        </is>
      </c>
      <c r="G47" s="0" t="inlineStr">
        <is>
          <t xml:space="preserve">Santiago Centro</t>
        </is>
      </c>
      <c r="H47" s="2">
        <v>46289.704861</v>
      </c>
      <c r="I47" s="2">
        <v>46317.666667</v>
      </c>
      <c r="J47" s="0">
        <v>7</v>
      </c>
      <c r="K47" s="3"/>
      <c r="L47" s="0" t="inlineStr">
        <is>
          <t xml:space="preserve">USD</t>
        </is>
      </c>
      <c r="M47" s="0" t="inlineStr">
        <is>
          <t xml:space="preserve">LE</t>
        </is>
      </c>
      <c r="N47" s="4" t="inlineStr">
        <is>
          <t xml:space="preserve">Tecnologías de la información, telecomunicaciones y radiodifusión / Software / Software de seguridad y protección</t>
        </is>
      </c>
      <c r="O47" s="4" t="inlineStr">
        <is>
          <t xml:space="preserve">1 Unidad · Software de equipos de red privada virtual (VPN) o de seguridad de red</t>
        </is>
      </c>
      <c r="P47" s="2"/>
      <c r="Q47" s="2"/>
      <c r="R47" s="0" t="inlineStr">
        <is>
          <t xml:space="preserve">12 meses</t>
        </is>
      </c>
      <c r="S47" s="0" t="inlineStr">
        <is>
          <t xml:space="preserve">No</t>
        </is>
      </c>
      <c r="T47" s="4"/>
      <c r="U47" s="0" t="inlineStr">
        <is>
          <t xml:space="preserve">Jorge Quezada</t>
        </is>
      </c>
      <c r="V47"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47" s="5" t="str">
        <f>HYPERLINK("https://www.mercadopublico.cl/Procurement/Modules/Attachment/ViewAttachment.aspx?enc=dU4f0WNVHkBUAIDHyxmw%2bco9%2fP3OGdADYUAEjSt9zhCYiT3%2bXvF7ctwj6DBYJCEDIJXdmIwbOWt6i65sb%2bNysOlN%2bfhDhVT696m3ZnGIEQZpYys7OdMOsK2ssMLB9fTvJ39320XtM%2b9HUymHSAiZE9661QdbYIUpTeTtnfofSSaxFdVJb4LEHW%2fGh7VYDUeOwGexv47OdxNPZKvo7bIB%2bWpK6%2bLFyRZoCSXjaQxMbh9AIRCnQ4zrBw86U%2f%2bx%2fasiA9eRvR0fBPdRZaYb%2flPwgu%2bQR4rSvKookxIsOnRnYGdPMCiQZWlk2%2ftOSDF21RN3","descargar bases")</f>
      </c>
    </row>
    <row r="48">
      <c r="A48" s="0" t="inlineStr">
        <is>
          <t xml:space="preserve">5148-13-LP26</t>
        </is>
      </c>
      <c r="B48" s="4" t="inlineStr">
        <is>
          <t xml:space="preserve">ADQUISICIÓN SERVIDORES PARA PLATAFORMA IA DEL MP</t>
        </is>
      </c>
      <c r="C48" s="0" t="inlineStr">
        <is>
          <t xml:space="preserve">Publicada</t>
        </is>
      </c>
      <c r="D48" s="0" t="inlineStr">
        <is>
          <t xml:space="preserve">MINISTERIO PUBLICO</t>
        </is>
      </c>
      <c r="E48" s="0" t="inlineStr">
        <is>
          <t xml:space="preserve">Fiscalía Nacional</t>
        </is>
      </c>
      <c r="F48" s="0" t="inlineStr">
        <is>
          <t xml:space="preserve">Región Metropolitana de Santiago</t>
        </is>
      </c>
      <c r="G48" s="0" t="inlineStr">
        <is>
          <t xml:space="preserve">Santiago Centro</t>
        </is>
      </c>
      <c r="H48" s="2">
        <v>46301.729387</v>
      </c>
      <c r="I48" s="2">
        <v>46317.708333</v>
      </c>
      <c r="J48" s="0">
        <v>7</v>
      </c>
      <c r="K48" s="3"/>
      <c r="L48" s="0" t="inlineStr">
        <is>
          <t xml:space="preserve">USD</t>
        </is>
      </c>
      <c r="M48" s="0" t="inlineStr">
        <is>
          <t xml:space="preserve">LP</t>
        </is>
      </c>
      <c r="N48" s="4" t="inlineStr">
        <is>
          <t xml:space="preserve">Tecnologías de la información, telecomunicaciones y radiodifusión / Equipos informáticos y accesorios / Computadores</t>
        </is>
      </c>
      <c r="O48" s="4" t="inlineStr">
        <is>
          <t xml:space="preserve">1 Unidad · Servidores · 1 Unidad · Servidores</t>
        </is>
      </c>
      <c r="P48" s="2"/>
      <c r="Q48" s="2"/>
      <c r="R48" s="0"/>
      <c r="S48" s="0" t="inlineStr">
        <is>
          <t xml:space="preserve">No</t>
        </is>
      </c>
      <c r="T48"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48" s="0" t="inlineStr">
        <is>
          <t xml:space="preserve">RICHARD ROJAS CASTEX</t>
        </is>
      </c>
      <c r="V48"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48" s="5" t="str">
        <f>HYPERLINK("https://www.mercadopublico.cl/Procurement/Modules/Attachment/ViewAttachment.aspx?enc=LoFqD7RUyI%2f7ffMP%2fYvxRG7g2cRMB9VdYrJqf6ldyKAm1%2fTSkdhuemS460JT36h%2bUSru4SV12IfwhztqSZn9eELwhWnunz181njuf8xtWjgcry9QNSpT0vmvocc3seq0DAPMf2S%2b055mCXAypYpvPZYX8rclSqlcss97SAY2m2TSkBy5y05SNWlhfPDv9LjsYEeo7ZRWratJXBiHRRdCLHIWIU2XNn5usjcGPeYKcYPoY8TkiXJcaFrCX5PEPZ8WzYGRqpyrG19LVVSg1cw7ORcd%2bUl3x%2fjtRr5kfOpEF%2f%2fkz29QfkdpiUYm2O6YB%2fZq","descargar bases")</f>
      </c>
    </row>
    <row r="49">
      <c r="A49" s="0" t="inlineStr">
        <is>
          <t xml:space="preserve">1057499-59-LE26</t>
        </is>
      </c>
      <c r="B49" s="4" t="inlineStr">
        <is>
          <t xml:space="preserve">ADQ TENSIÓMETRO BALANZA DIGITAL Y ESFIGMOMANÓMETRO</t>
        </is>
      </c>
      <c r="C49" s="0" t="inlineStr">
        <is>
          <t xml:space="preserve">Publicada</t>
        </is>
      </c>
      <c r="D49" s="0" t="inlineStr">
        <is>
          <t xml:space="preserve">SERVICIO DE SALUD SUR UNIDAD HOSPITALARI</t>
        </is>
      </c>
      <c r="E49" s="0" t="inlineStr">
        <is>
          <t xml:space="preserve">Bienes y Servicios</t>
        </is>
      </c>
      <c r="F49" s="0" t="inlineStr">
        <is>
          <t xml:space="preserve">Región Metropolitana de Santiago</t>
        </is>
      </c>
      <c r="G49" s="0" t="inlineStr">
        <is>
          <t xml:space="preserve">San Miguel</t>
        </is>
      </c>
      <c r="H49" s="2">
        <v>46308.693461</v>
      </c>
      <c r="I49" s="2">
        <v>46318.375</v>
      </c>
      <c r="J49" s="0">
        <v>8</v>
      </c>
      <c r="K49" s="3"/>
      <c r="L49" s="0" t="inlineStr">
        <is>
          <t xml:space="preserve">CLP</t>
        </is>
      </c>
      <c r="M49" s="0" t="inlineStr">
        <is>
          <t xml:space="preserve">LE</t>
        </is>
      </c>
      <c r="N49" s="4" t="inlineStr">
        <is>
          <t xml:space="preserve">Equipamiento para laboratorios / Instrumentos de medida y experimentación / Instrumentos de medición de peso, Equipamiento y suministros médicos / Productos para exámenes y control de pacientes / Unidades de presión sanguínea y productos relacionados</t>
        </is>
      </c>
      <c r="O49" s="4" t="inlineStr">
        <is>
          <t xml:space="preserve">200 Unidad · Balanzas electrónicas de carga superior · 200 Unidad · Unidades electrónicas de presión sanguínea · 200 Unidad · Unidades de presión sanguínea aneroide</t>
        </is>
      </c>
      <c r="P49" s="2"/>
      <c r="Q49" s="2"/>
      <c r="R49" s="0"/>
      <c r="S49" s="0" t="inlineStr">
        <is>
          <t xml:space="preserve">No</t>
        </is>
      </c>
      <c r="T49" s="4" t="inlineStr">
        <is>
          <t xml:space="preserve">De acuerdo al numeral 13 de las Bases Administrativas</t>
        </is>
      </c>
      <c r="U49" s="0" t="inlineStr">
        <is>
          <t xml:space="preserve">Gabriela Daza</t>
        </is>
      </c>
      <c r="V49" s="4" t="inlineStr">
        <is>
          <t xml:space="preserve">La presente licitación tiene como objetivo la contratación de “ADQUISICIÓN DE TENSIÓMETRO, BALANZA DIGITAL Y ESFIGMOMANÓMETRO AUSCULTATORIO CON MANGUITO PARA APS”.</t>
        </is>
      </c>
      <c r="W49" s="5" t="str">
        <f>HYPERLINK("https://www.mercadopublico.cl/Procurement/Modules/Attachment/ViewAttachment.aspx?enc=nbMg3eomEyYCK8qjSP6MaxxjNk8GC0QROV2%2bVneMxU7%2fb0N1dHFQnL1O%2fjZDXiJNCgq7KlQ7KHqNIaxlCaoMJJ1V94QwasLIH7sr6XghdLOOjWg%2bjNEWBHNjfLlqN35RBDNnZbW0XyE7%2bOQ%2brrTLTnH3eA9PPfEiBuxl0Ez8N13t7TTKDM1fPwhF5uZRo7kJPMznLYGx0%2ffDh%2fB2GK47gW30iYi%2bRMVJ%2bHU0sod%2blCPOWYGeYm57upAz%2f2pSNHleasNNb%2boUde7UTILYhsUJBDX3dcr4KmGmBH0SDe%2bZ1qK%2bhb8IVXTPc58Idgn952L9","descargar bases")</f>
      </c>
    </row>
    <row r="50">
      <c r="A50" s="0" t="inlineStr">
        <is>
          <t xml:space="preserve">598-26-LE26</t>
        </is>
      </c>
      <c r="B50" s="4" t="inlineStr">
        <is>
          <t xml:space="preserve">Licencia Automatización de Procesos IFM por 36 mes</t>
        </is>
      </c>
      <c r="C50" s="0" t="inlineStr">
        <is>
          <t xml:space="preserve">Publicada</t>
        </is>
      </c>
      <c r="D50" s="0" t="inlineStr">
        <is>
          <t xml:space="preserve">DIRECCION PREVISION DE CARABINEROS DE CHILE</t>
        </is>
      </c>
      <c r="E50" s="0" t="inlineStr">
        <is>
          <t xml:space="preserve">Unidad de Abastecimiento DIPRECA</t>
        </is>
      </c>
      <c r="F50" s="0" t="inlineStr">
        <is>
          <t xml:space="preserve">Región Metropolitana de Santiago</t>
        </is>
      </c>
      <c r="G50" s="0" t="inlineStr">
        <is>
          <t xml:space="preserve">Santiago</t>
        </is>
      </c>
      <c r="H50" s="2">
        <v>46304.477535</v>
      </c>
      <c r="I50" s="2">
        <v>46318.395833</v>
      </c>
      <c r="J50" s="0">
        <v>8</v>
      </c>
      <c r="K50" s="3">
        <v>24000000.0</v>
      </c>
      <c r="L50" s="0" t="inlineStr">
        <is>
          <t xml:space="preserve">CLP</t>
        </is>
      </c>
      <c r="M50" s="0" t="inlineStr">
        <is>
          <t xml:space="preserve">LE</t>
        </is>
      </c>
      <c r="N50" s="4" t="inlineStr">
        <is>
          <t xml:space="preserve">Tecnologías de la información, telecomunicaciones y radiodifusión / Software / Software de gestión</t>
        </is>
      </c>
      <c r="O50" s="4" t="inlineStr">
        <is>
          <t xml:space="preserve">1 Unidad · Software de gestión de licencias</t>
        </is>
      </c>
      <c r="P50" s="2"/>
      <c r="Q50" s="2"/>
      <c r="R50" s="0"/>
      <c r="S50" s="0" t="inlineStr">
        <is>
          <t xml:space="preserve">No</t>
        </is>
      </c>
      <c r="T50" s="4"/>
      <c r="U50" s="0" t="inlineStr">
        <is>
          <t xml:space="preserve">Alex Saavedra</t>
        </is>
      </c>
      <c r="V50"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50" s="5" t="str">
        <f>HYPERLINK("https://www.mercadopublico.cl/Procurement/Modules/Attachment/ViewAttachment.aspx?enc=kCvF2ZjOUFWLja5i66bmrnNphOjb6sgBNdC5ZUrUMSt1Dfx4DXNkxlODF8vczpnWUN19LAfmPndHIU23Yo21zcVCbCBnojqbTaYWtgJOhyfuzDRZ%2fyXRh2QrVlEcd63UgTzitychrBbVDnfMLo4wGAirUn6vgPMFywL1piSuFoCw6IWh%2bnXruHSLLn%2bXEICiihuFt2QfWId6eOszXMZPSbrckh2Z1Z5qrfRNTSZd%2fzPkMfL4ik4CUhpl5T07vFEhc5%2bN0ne%2b4kgRtKaBXdYxDpdTm4JFSD3bpq5SuM9qVPkNgFHu6bzDglmzCV0VU8HD","descargar bases")</f>
      </c>
    </row>
    <row r="51">
      <c r="A51" s="0" t="inlineStr">
        <is>
          <t xml:space="preserve">792909-1-LE26</t>
        </is>
      </c>
      <c r="B51" s="4" t="inlineStr">
        <is>
          <t xml:space="preserve">ALMACENAJE DIGITALIZACIÓN Y CUSTODIA DE DOCUMENTO</t>
        </is>
      </c>
      <c r="C51" s="0" t="inlineStr">
        <is>
          <t xml:space="preserve">Publicada</t>
        </is>
      </c>
      <c r="D51" s="0" t="inlineStr">
        <is>
          <t xml:space="preserve">SUPERINTENDENCIA DE EDUCACION ESCOLAR</t>
        </is>
      </c>
      <c r="E51" s="0" t="inlineStr">
        <is>
          <t xml:space="preserve">SUPEREDUC DIRECCION REGIONAL X</t>
        </is>
      </c>
      <c r="F51" s="0" t="inlineStr">
        <is>
          <t xml:space="preserve">Región de los Lagos </t>
        </is>
      </c>
      <c r="G51" s="0" t="inlineStr">
        <is>
          <t xml:space="preserve">Puerto Montt</t>
        </is>
      </c>
      <c r="H51" s="2">
        <v>46310.415845</v>
      </c>
      <c r="I51" s="2">
        <v>46318.458333</v>
      </c>
      <c r="J51" s="0">
        <v>8</v>
      </c>
      <c r="K51" s="3"/>
      <c r="L51" s="0" t="inlineStr">
        <is>
          <t xml:space="preserve">CLP</t>
        </is>
      </c>
      <c r="M51" s="0" t="inlineStr">
        <is>
          <t xml:space="preserve">LE</t>
        </is>
      </c>
      <c r="N51" s="4" t="inlineStr">
        <is>
          <t xml:space="preserve">Servicios de transporte, almacenaje y correo / Almacenaje / Depósito y almacenaje especializado</t>
        </is>
      </c>
      <c r="O51" s="4" t="inlineStr">
        <is>
          <t xml:space="preserve">1 Unidad · Servicios de almacenaje de documentos</t>
        </is>
      </c>
      <c r="P51" s="2"/>
      <c r="Q51" s="2"/>
      <c r="R51" s="0" t="inlineStr">
        <is>
          <t xml:space="preserve">24 meses</t>
        </is>
      </c>
      <c r="S51" s="0" t="inlineStr">
        <is>
          <t xml:space="preserve">No</t>
        </is>
      </c>
      <c r="T51" s="4"/>
      <c r="U51" s="0" t="inlineStr">
        <is>
          <t xml:space="preserve">CARLOS FELIPE QUIÑONES BARRIA</t>
        </is>
      </c>
      <c r="V51" s="4" t="inlineStr">
        <is>
          <t xml:space="preserve">La Dirección Regional de la Superintendencia de Educación requiere contratar el Servicio de Almacenaje, Digitalización y Custodia de Documentos Físicos.</t>
        </is>
      </c>
      <c r="W51" s="5" t="str">
        <f>HYPERLINK("https://www.mercadopublico.cl/Procurement/Modules/Attachment/ViewAttachment.aspx?enc=pK%2fdLEFcC97%2bVEk4nOnWKuV3ji%2fdaVw5%2f32%2ba%2fBHt%2fq8wQH67KLQHwRKt3eZK%2b%2fdVMYEI8NM7Yr7gd2mTQ8wWumM1kxUQk8HSsYQDAd%2bX5l%2fovGuYPv6g4KT7Vx7Wwd0wYYewMKHkuqztlvza%2bwMQb5dYpT%2bOEKSk%2fhYeUAAfmTQe1cg0d%2bx6BEQFEXngLu6gBI%2bTBsGUZT5GxJF411gjnGSBnDL2pDTt2V%2fMIoZvKbuMdeMCo35cNl3kf%2bQ9PENQ0SXQ3fGm4AZdBHQ50s9txNUGKg2IC0QsnI1u95iAG46pL80edVBmf0qFLnvU2Lc","descargar bases")</f>
      </c>
    </row>
    <row r="52">
      <c r="A52" s="0" t="inlineStr">
        <is>
          <t xml:space="preserve">3337-21-LE26</t>
        </is>
      </c>
      <c r="B52" s="4" t="inlineStr">
        <is>
          <t xml:space="preserve">PLATAFORMA DIGITAL PARA EVALUACIÓN PSICOLOGICA</t>
        </is>
      </c>
      <c r="C52" s="0" t="inlineStr">
        <is>
          <t xml:space="preserve">Publicada</t>
        </is>
      </c>
      <c r="D52" s="0" t="inlineStr">
        <is>
          <t xml:space="preserve">DIVISION LOGISTICA DEL EJERCITO</t>
        </is>
      </c>
      <c r="E52" s="0" t="inlineStr">
        <is>
          <t xml:space="preserve">División de Salud</t>
        </is>
      </c>
      <c r="F52" s="0" t="inlineStr">
        <is>
          <t xml:space="preserve">Región Metropolitana de Santiago</t>
        </is>
      </c>
      <c r="G52" s="0" t="inlineStr">
        <is>
          <t xml:space="preserve">Santiago</t>
        </is>
      </c>
      <c r="H52" s="2">
        <v>46308.717731</v>
      </c>
      <c r="I52" s="2">
        <v>46318.5</v>
      </c>
      <c r="J52" s="0">
        <v>8</v>
      </c>
      <c r="K52" s="3"/>
      <c r="L52" s="0" t="inlineStr">
        <is>
          <t xml:space="preserve">CLP</t>
        </is>
      </c>
      <c r="M52" s="0" t="inlineStr">
        <is>
          <t xml:space="preserve">LE</t>
        </is>
      </c>
      <c r="N52" s="4" t="inlineStr">
        <is>
          <t xml:space="preserve">Salud, servicios sanitarios y alimentación / Medicina y servicios de salud / Evaluaciones de salud individuales</t>
        </is>
      </c>
      <c r="O52" s="4" t="inlineStr">
        <is>
          <t xml:space="preserve">1 Unidad · Exámenes médicos</t>
        </is>
      </c>
      <c r="P52" s="2"/>
      <c r="Q52" s="2"/>
      <c r="R52" s="0"/>
      <c r="S52" s="0" t="inlineStr">
        <is>
          <t xml:space="preserve">No</t>
        </is>
      </c>
      <c r="T52" s="4"/>
      <c r="U52" s="0" t="inlineStr">
        <is>
          <t xml:space="preserve">PATRICIA VARAS PEZOA</t>
        </is>
      </c>
      <c r="V52" s="4" t="inlineStr">
        <is>
          <t xml:space="preserve">Plataforma digital para Evaluación Psicológica automatizada, que deberá encontrarse operacional a contar 23NOV2026, que será utilizada en el territorio nacional.</t>
        </is>
      </c>
      <c r="W52" s="5" t="str">
        <f>HYPERLINK("https://www.mercadopublico.cl/Procurement/Modules/Attachment/ViewAttachment.aspx?enc=n7jsox7xtZ%2bw3CNp%2bkmFsPY0fVuvYUgwDsiFrhpUotTCC3BT4qQMygcnEcMOCvvlE%2bQgBnCPq4SbyZ1bG5%2b9odWx%2b6hI1Qj%2bDv2n%2bAA76dFNO1WpvUWAbXyJ%2fxlphJOWmT5%2fS%2boha3pO52EgbVMZdJiCprQKcaQPp4VU9DTGbnhEsXHv%2fxFVV2tG5OaHVLzQsUMvlXXUFjSoNTC8EwjgNeLRvZQJnXKZlkxeeR9q6LxvqlJxqZ5lRY0Iqe0HULFr0x5Yj%2fjKkvtXYIS%2bYI%2fZ78MajUvsXKo%2fUQyhozlLzbkfzllgpO1FF8fnJuFSMsqj","descargar bases")</f>
      </c>
    </row>
    <row r="53">
      <c r="A53" s="0" t="inlineStr">
        <is>
          <t xml:space="preserve">2446-303-LE26</t>
        </is>
      </c>
      <c r="B53" s="4" t="inlineStr">
        <is>
          <t xml:space="preserve">SERVICIO MULTISTREAMING CON TRANSMISIÓN DIGITAL</t>
        </is>
      </c>
      <c r="C53" s="0" t="inlineStr">
        <is>
          <t xml:space="preserve">Publicada</t>
        </is>
      </c>
      <c r="D53" s="0" t="inlineStr">
        <is>
          <t xml:space="preserve">I MUNICIPALIDAD DE COQUIMBO</t>
        </is>
      </c>
      <c r="E53" s="0" t="inlineStr">
        <is>
          <t xml:space="preserve">IMUNI_COQUIMBO</t>
        </is>
      </c>
      <c r="F53" s="0" t="inlineStr">
        <is>
          <t xml:space="preserve">Región de Coquimbo </t>
        </is>
      </c>
      <c r="G53" s="0" t="inlineStr">
        <is>
          <t xml:space="preserve">Coquimbo</t>
        </is>
      </c>
      <c r="H53" s="2">
        <v>46308.533542</v>
      </c>
      <c r="I53" s="2">
        <v>46318.583333</v>
      </c>
      <c r="J53" s="0">
        <v>8</v>
      </c>
      <c r="K53" s="3">
        <v>19714284.0</v>
      </c>
      <c r="L53" s="0" t="inlineStr">
        <is>
          <t xml:space="preserve">CLP</t>
        </is>
      </c>
      <c r="M53" s="0" t="inlineStr">
        <is>
          <t xml:space="preserve">LE</t>
        </is>
      </c>
      <c r="N53" s="4" t="inlineStr">
        <is>
          <t xml:space="preserve">Tecnologías de la información, telecomunicaciones y radiodifusión / Equipos, plataformas y accesorios de redes multimedia, voz y datos / Plataformas de mensajería por móvil</t>
        </is>
      </c>
      <c r="O53" s="4" t="inlineStr">
        <is>
          <t xml:space="preserve">12 Unidad · Sistema de transmisión por secuencias de video</t>
        </is>
      </c>
      <c r="P53" s="2"/>
      <c r="Q53" s="2"/>
      <c r="R53" s="0" t="inlineStr">
        <is>
          <t xml:space="preserve">12 semanas</t>
        </is>
      </c>
      <c r="S53" s="0" t="inlineStr">
        <is>
          <t xml:space="preserve">No</t>
        </is>
      </c>
      <c r="T53" s="4"/>
      <c r="U53" s="0" t="inlineStr">
        <is>
          <t xml:space="preserve">MARCELA ARAYA SALINAS</t>
        </is>
      </c>
      <c r="V53" s="4" t="inlineStr">
        <is>
          <t xml:space="preserve">SERVICIO MULTISTREAMING CON TRANSMISIÓN DIGITAL E INTERNET SATELITAL PARA DIFUSIÓN DE ACTIVIDADES MUNICIPALES</t>
        </is>
      </c>
      <c r="W53" s="5" t="str">
        <f>HYPERLINK("https://www.mercadopublico.cl/Procurement/Modules/Attachment/ViewAttachment.aspx?enc=QOhuKsTRn4zFu2Wy6%2fy78Sm1K6R89dPMP5D6LT1VH10HJ3Pe2fPwV0ra81qAwlHJPv1VkEsCy2Buod%2blc4LEpZotJdM2HDz8gYqq87izq%2bZw00vbnsGiIGdIuskjoPlD9C%2btLaWqm79hqh6z3Yhtzd8nH61btWmJ%2b8hSW9txjRof%2bhEPFBP2odw1u%2bV4UFx96UbIi%2b9SYv7MQxocQKYw0uUf1Iody7YnpcI7Vwv3ZFL%2bDHquLktBCE8hvHy8iKWDmBi%2bVnaoESuy9yosO%2fFP07oeQ7ryOVv4cxNmZjUdy6MMrf2%2blWvd6XDgAFCwv%2f03","descargar bases")</f>
      </c>
    </row>
    <row r="54">
      <c r="A54" s="0" t="inlineStr">
        <is>
          <t xml:space="preserve">2484-22-LE26</t>
        </is>
      </c>
      <c r="B54" s="4" t="inlineStr">
        <is>
          <t xml:space="preserve">SERVICIO DE ARRIENDO DE SOFTWARE CLOUD PARA CONTROL Y GESTION DE ASISTENCIA Y MANTENCION DE RELOJES BIOMETRICOS.</t>
        </is>
      </c>
      <c r="C54" s="0" t="inlineStr">
        <is>
          <t xml:space="preserve">Publicada</t>
        </is>
      </c>
      <c r="D54" s="0" t="inlineStr">
        <is>
          <t xml:space="preserve">I MUNICIPALIDAD DE QUILICURA</t>
        </is>
      </c>
      <c r="E54" s="0" t="inlineStr">
        <is>
          <t xml:space="preserve">Adquisiciones DESAM</t>
        </is>
      </c>
      <c r="F54" s="0" t="inlineStr">
        <is>
          <t xml:space="preserve">Región Metropolitana de Santiago</t>
        </is>
      </c>
      <c r="G54" s="0"/>
      <c r="H54" s="2">
        <v>46308.705718</v>
      </c>
      <c r="I54" s="2">
        <v>46318.625</v>
      </c>
      <c r="J54" s="0">
        <v>8</v>
      </c>
      <c r="K54" s="3"/>
      <c r="L54" s="0" t="inlineStr">
        <is>
          <t xml:space="preserve">CLP</t>
        </is>
      </c>
      <c r="M54" s="0" t="inlineStr">
        <is>
          <t xml:space="preserve">LE</t>
        </is>
      </c>
      <c r="N54" s="4" t="inlineStr">
        <is>
          <t xml:space="preserve">Equipos, accesorios y suministros de oficina / Maquinarias, suministros y accesorios de oficina / Máquinas y accesorios para registro de hora y asistencia en la oficina</t>
        </is>
      </c>
      <c r="O54" s="4" t="inlineStr">
        <is>
          <t xml:space="preserve">1 Paquete · Reloj de control</t>
        </is>
      </c>
      <c r="P54" s="2"/>
      <c r="Q54" s="2"/>
      <c r="R54" s="0" t="inlineStr">
        <is>
          <t xml:space="preserve">3 meses</t>
        </is>
      </c>
      <c r="S54" s="0" t="inlineStr">
        <is>
          <t xml:space="preserve">No</t>
        </is>
      </c>
      <c r="T54" s="4"/>
      <c r="U54" s="0" t="inlineStr">
        <is>
          <t xml:space="preserve">Michael Sáez Palma</t>
        </is>
      </c>
      <c r="V54" s="4" t="inlineStr">
        <is>
          <t xml:space="preserve">NECESIDAD DEL SERVICIO</t>
        </is>
      </c>
      <c r="W54" s="5" t="str">
        <f>HYPERLINK("https://www.mercadopublico.cl/Procurement/Modules/Attachment/ViewAttachment.aspx?enc=Nbq4qCdQbQRFyNvFT08IwiMOuyWEhmLrSskq9MVI7JGkYBIcmV17drs%2fXOGCWgMq4n58AhL1jkyv6sUFZWZvsyCFDTa8hZ1xfS1jUBSnIQ3Z%2fUl9L7xaDfbJ4Pg%2bAsPhxijaik8HlTfx%2feyDeqLdaxb6PqEO3akQ4wgXjrh10sr7FEBOLpZ82koQpeCRPhMid%2bkjP9DoU7bWpMtsgYd4Xl54llWPex9lLhbwAIZfQ1IRU4JAut9M2em9tk%2bDwS1BeiZaTMtEckIchRPuTw2nJ9FIujOfA3C6rYbHhDlfSwzCezFsZfTT%2b8rIWejqvFr8","descargar bases")</f>
      </c>
    </row>
    <row r="55">
      <c r="A55" s="0" t="inlineStr">
        <is>
          <t xml:space="preserve">2667-71-LR26</t>
        </is>
      </c>
      <c r="B55" s="4" t="inlineStr">
        <is>
          <t xml:space="preserve">ARRIENDO SOPORTE Y MANTENCIÓN DE CENTRAL TELEFONICA IP TELEFONOS IP Y PLATAFORMA DE CONTACT CENTER</t>
        </is>
      </c>
      <c r="C55" s="0" t="inlineStr">
        <is>
          <t xml:space="preserve">Publicada</t>
        </is>
      </c>
      <c r="D55" s="0" t="inlineStr">
        <is>
          <t xml:space="preserve">I MUNICIPALIDAD DE VITACURA</t>
        </is>
      </c>
      <c r="E55" s="0" t="inlineStr">
        <is>
          <t xml:space="preserve">SECPLA</t>
        </is>
      </c>
      <c r="F55" s="0" t="inlineStr">
        <is>
          <t xml:space="preserve">Región Metropolitana de Santiago</t>
        </is>
      </c>
      <c r="G55" s="0" t="inlineStr">
        <is>
          <t xml:space="preserve">Vitacura</t>
        </is>
      </c>
      <c r="H55" s="2">
        <v>46282.54353</v>
      </c>
      <c r="I55" s="2">
        <v>46318.625</v>
      </c>
      <c r="J55" s="0">
        <v>8</v>
      </c>
      <c r="K55" s="3"/>
      <c r="L55" s="0" t="inlineStr">
        <is>
          <t xml:space="preserve">CLF</t>
        </is>
      </c>
      <c r="M55" s="0" t="inlineStr">
        <is>
          <t xml:space="preserve">LR</t>
        </is>
      </c>
      <c r="N55" s="4" t="inlineStr">
        <is>
          <t xml:space="preserve">Equipos y suministros de defensa, orden público, protección y seguridad / Seguridad, vigilancia y detección / Equipo de vigilancia y detección</t>
        </is>
      </c>
      <c r="O55" s="4" t="inlineStr">
        <is>
          <t xml:space="preserve">1 Global · Sistemas de alarma</t>
        </is>
      </c>
      <c r="P55" s="2"/>
      <c r="Q55" s="2"/>
      <c r="R55" s="0" t="inlineStr">
        <is>
          <t xml:space="preserve">48 meses</t>
        </is>
      </c>
      <c r="S55" s="0" t="inlineStr">
        <is>
          <t xml:space="preserve">No</t>
        </is>
      </c>
      <c r="T55" s="4"/>
      <c r="U55" s="0" t="inlineStr">
        <is>
          <t xml:space="preserve">Gonzalo Fuentes Osses</t>
        </is>
      </c>
      <c r="V55"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55" s="5" t="str">
        <f>HYPERLINK("https://www.mercadopublico.cl/Procurement/Modules/Attachment/ViewAttachment.aspx?enc=ZI9eYkswbJQjt0YpAQLRT4ijfxRRr3LLZ5j%2fLgMEf9U%2bY3aHdRolo1vrBiZhYh%2fAlCBLMPwrx%2fPNwYk1s3ClqIUiJ3D8XGOHmXNLGiFLNFnHFgVu2AE0TgJScyFnBE17fwigJGF0dzfenLd8H6iMIwlkuuW%2fN5OaZzU1bdWFWPjJBCgG7BgpA37oxKSs1Yx6Z3h60fbi359BXIWx59RQLE92rJi1DjXTaRxs3VpHTPvwrKe5NMZIxfb6uViTsHEP4WqsmGMkOYILzSIkOGBuiWe%2byF8rzUh9VpkbWZpdsKzJD7oiXYiMcQkZuxbSEe%2fK","descargar bases")</f>
      </c>
    </row>
    <row r="56">
      <c r="A56" s="0" t="inlineStr">
        <is>
          <t xml:space="preserve">1230848-71-L126</t>
        </is>
      </c>
      <c r="B56" s="4" t="inlineStr">
        <is>
          <t xml:space="preserve">SERVICIO DE SOFTWARE PARA GESTIÓN DE FILAS TÓTEM</t>
        </is>
      </c>
      <c r="C56" s="0" t="inlineStr">
        <is>
          <t xml:space="preserve">Publicada</t>
        </is>
      </c>
      <c r="D56" s="0" t="inlineStr">
        <is>
          <t xml:space="preserve">Corporación Municipal de Desarrollo Social de Calama</t>
        </is>
      </c>
      <c r="E56" s="0" t="inlineStr">
        <is>
          <t xml:space="preserve">Corporación Municipal de Desarrollo Social de Cala</t>
        </is>
      </c>
      <c r="F56" s="0" t="inlineStr">
        <is>
          <t xml:space="preserve">Región de Antofagasta </t>
        </is>
      </c>
      <c r="G56" s="0" t="inlineStr">
        <is>
          <t xml:space="preserve">Calama</t>
        </is>
      </c>
      <c r="H56" s="2">
        <v>46309.731852</v>
      </c>
      <c r="I56" s="2">
        <v>46318.625</v>
      </c>
      <c r="J56" s="0">
        <v>8</v>
      </c>
      <c r="K56" s="3">
        <v>2300000.0</v>
      </c>
      <c r="L56" s="0" t="inlineStr">
        <is>
          <t xml:space="preserve">CLP</t>
        </is>
      </c>
      <c r="M56" s="0" t="inlineStr">
        <is>
          <t xml:space="preserve">L1</t>
        </is>
      </c>
      <c r="N56" s="4" t="inlineStr">
        <is>
          <t xml:space="preserve">Tecnologías de la información, telecomunicaciones y radiodifusión / Software / Software de consultas y gestión de datos</t>
        </is>
      </c>
      <c r="O56" s="4" t="inlineStr">
        <is>
          <t xml:space="preserve">1 Global · Software de clasificación o categorización</t>
        </is>
      </c>
      <c r="P56" s="2"/>
      <c r="Q56" s="2"/>
      <c r="R56" s="0"/>
      <c r="S56" s="0" t="inlineStr">
        <is>
          <t xml:space="preserve">No</t>
        </is>
      </c>
      <c r="T56" s="4"/>
      <c r="U56" s="0" t="inlineStr">
        <is>
          <t xml:space="preserve">Patricio Orellana Flores</t>
        </is>
      </c>
      <c r="V56" s="4" t="inlineStr">
        <is>
          <t xml:space="preserve">Contratación de un servicio integral de software para la gestión de filas del CESFAM Dr. Enrique Montt, que asegure la operación continua, segura y trazable del sistema, mediante una solución compatible e integrada con Rayen, permitiendo ordenar la atención, registrar el anuncio de llegada de los usuarios y generar información para la administración del establecimiento, de acuerdo con las Bases Técnicas.</t>
        </is>
      </c>
      <c r="W56" s="5" t="str">
        <f>HYPERLINK("https://www.mercadopublico.cl/Procurement/Modules/Attachment/ViewAttachment.aspx?enc=1b1PVBpEZlikzeIUPNgHHzrSO3TtScdKgSvJFkTSl26vffXsa%2fVt5seldwHjxbZCbbGMXzS4wAgCYiD1pBMxS9VHPJO3Y9qBlOjCEEDSUrFOs5WbImgR%2fMSVHZe83Gc4MiLpRgk6HKmAKXn6v4kTRFnLu1So6hFZ4aGJEtfyx8g6PE6%2fmChcNXvxxv7FeLorukkf3Z03seQy9t2579hBVtkK%2fK8d0OBxymGkEfYN4xZTWiy1U%2fP3MoNbsjUdtIICPOgjUUwjmdIya4dSHqW21XBcHyoX8x%2b8dmiy5mJ4wcq4M2vfR0wCs1G0xon4eRTS","descargar bases")</f>
      </c>
    </row>
    <row r="57">
      <c r="A57" s="0" t="inlineStr">
        <is>
          <t xml:space="preserve">608-197-LR26</t>
        </is>
      </c>
      <c r="B57" s="4" t="inlineStr">
        <is>
          <t xml:space="preserve">SERVICIO DE OPERACIÓN MANTENIMIENTO Y ACTUALIZACIÓN DE PLATAFORMAS TECNOLÓGICAS DE LA SALA DE CONTROL CENTRALIZADO DEL HOSPITAL DR. GUSTAVO FRICKE</t>
        </is>
      </c>
      <c r="C57" s="0" t="inlineStr">
        <is>
          <t xml:space="preserve">Publicada</t>
        </is>
      </c>
      <c r="D57" s="0" t="inlineStr">
        <is>
          <t xml:space="preserve">HOSPITAL DR GUSTAVO FRICKE DE VINA DEL MAR</t>
        </is>
      </c>
      <c r="E57" s="0" t="inlineStr">
        <is>
          <t xml:space="preserve">Hospital Dr. Gustavo Fricke</t>
        </is>
      </c>
      <c r="F57" s="0" t="inlineStr">
        <is>
          <t xml:space="preserve">Región de Valparaíso </t>
        </is>
      </c>
      <c r="G57" s="0"/>
      <c r="H57" s="2">
        <v>46279.504861</v>
      </c>
      <c r="I57" s="2">
        <v>46318.686806</v>
      </c>
      <c r="J57" s="0">
        <v>8</v>
      </c>
      <c r="K57" s="3">
        <v>675433201.0</v>
      </c>
      <c r="L57" s="0" t="inlineStr">
        <is>
          <t xml:space="preserve">CLP</t>
        </is>
      </c>
      <c r="M57" s="0" t="inlineStr">
        <is>
          <t xml:space="preserve">LR</t>
        </is>
      </c>
      <c r="N57" s="4" t="inlineStr">
        <is>
          <t xml:space="preserve">Servicios basados en ingeniería, ciencias sociales y tecnología de la información / Servicios informáticos / Ingeniería en computación e informática</t>
        </is>
      </c>
      <c r="O57" s="4" t="inlineStr">
        <is>
          <t xml:space="preserve">1 Unidad · Integración de sistemas</t>
        </is>
      </c>
      <c r="P57" s="2"/>
      <c r="Q57" s="2"/>
      <c r="R57" s="0" t="inlineStr">
        <is>
          <t xml:space="preserve">17 meses</t>
        </is>
      </c>
      <c r="S57" s="0" t="inlineStr">
        <is>
          <t xml:space="preserve">No</t>
        </is>
      </c>
      <c r="T57" s="4"/>
      <c r="U57" s="0" t="inlineStr">
        <is>
          <t xml:space="preserve">SE DEFINIRÁ AL MOMENTO DE ADJUDICAR PROCESO</t>
        </is>
      </c>
      <c r="V57" s="4" t="inlineStr">
        <is>
          <t xml:space="preserve">Que la unidad de control centralizado integra plataformas tecnológicas y de comunicación complejas que
permiten el monitoreo constante y reacción inmediata ante incidentes y respuesta en tiempo real frente a
emergencias.</t>
        </is>
      </c>
      <c r="W57" s="5" t="str">
        <f>HYPERLINK("https://www.mercadopublico.cl/Procurement/Modules/Attachment/ViewAttachment.aspx?enc=87E85nsGdXVphe9I4lqqJ%2bPpU07zhh6lPyqk1Fog8HudKKspe3j%2bpLZ5w0%2f2IjNtav7d680rWx8QT78eazScYy%2fynVfAt6TIA2BHgRc1vyq%2bqjUqZtmb1wUA69YLqhiVv8fjIjm7uus41i9qfmbSaMXMZgJDJQ1QOZTuE%2bYm3WS1FgpSqjJH7AhA%2bw6ylTCf9jm%2bFzhx3q0EXT%2fzFqNSulppRf%2btFwALUipC44JxnRMXqyNlgHG2WWe8wiJLPPh4kSjGgiPPxMGep07QQFlAKm7eQfOJU9t9t9y81geIZqEKUYapVAF3JFl19dPRCd4O","descargar bases")</f>
      </c>
    </row>
    <row r="58">
      <c r="A58" s="0" t="inlineStr">
        <is>
          <t xml:space="preserve">1020-38-LP26</t>
        </is>
      </c>
      <c r="B58" s="4" t="inlineStr">
        <is>
          <t xml:space="preserve">Adquisición de Plataforma Next Generation Firewall</t>
        </is>
      </c>
      <c r="C58" s="0" t="inlineStr">
        <is>
          <t xml:space="preserve">Publicada</t>
        </is>
      </c>
      <c r="D58" s="0" t="inlineStr">
        <is>
          <t xml:space="preserve">MINISTERIO DE OBRAS PUBLICAS DIREC CION GRAL DE OO PP DCYF</t>
        </is>
      </c>
      <c r="E58" s="0" t="inlineStr">
        <is>
          <t xml:space="preserve">MOP Subsecretaría </t>
        </is>
      </c>
      <c r="F58" s="0" t="inlineStr">
        <is>
          <t xml:space="preserve">Región Metropolitana de Santiago</t>
        </is>
      </c>
      <c r="G58" s="0"/>
      <c r="H58" s="2">
        <v>46252.442361</v>
      </c>
      <c r="I58" s="2">
        <v>46321.625</v>
      </c>
      <c r="J58" s="0">
        <v>11</v>
      </c>
      <c r="K58" s="3">
        <v>240000000.0</v>
      </c>
      <c r="L58" s="0" t="inlineStr">
        <is>
          <t xml:space="preserve">CLP</t>
        </is>
      </c>
      <c r="M58" s="0" t="inlineStr">
        <is>
          <t xml:space="preserve">LP</t>
        </is>
      </c>
      <c r="N58"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58" s="4" t="inlineStr">
        <is>
          <t xml:space="preserve">2 Unidad · Equipo de seguridad de red de firewall · 1 Unidad · Software de vigilancia de redes</t>
        </is>
      </c>
      <c r="P58" s="2"/>
      <c r="Q58" s="2"/>
      <c r="R58" s="0" t="inlineStr">
        <is>
          <t xml:space="preserve">16 meses</t>
        </is>
      </c>
      <c r="S58" s="0" t="inlineStr">
        <is>
          <t xml:space="preserve">No</t>
        </is>
      </c>
      <c r="T58" s="4" t="inlineStr">
        <is>
          <t xml:space="preserve">Conforme al punto 10.5 de las Bases Administrativas, el oferente adjudicado no podrá subcontratar los servicios derivados de la ejecución del Contrato</t>
        </is>
      </c>
      <c r="U58" s="0" t="inlineStr">
        <is>
          <t xml:space="preserve">Francisco Borques</t>
        </is>
      </c>
      <c r="V58"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58" s="5" t="str">
        <f>HYPERLINK("https://www.mercadopublico.cl/Procurement/Modules/Attachment/ViewAttachment.aspx?enc=qfk2LTQ13IFGFStuUTjIrCVJF0GTHYtLU8HRUlyZwG9Gz7PX%2f4nFDInLMpsx6p%2fsRjJEQ3pcQEp7fO3GKUiP4sVPk1Qe7oaW3%2fyK1qjc3drDDZDPUU1yijj0h3hGDEo6stb6slWCpK1uspbHzZv75MlCDepqkuC1Pr6O3GL1EqdteAY%2bU285USpTXRvZLvwcH8BYvM3c%2bJAucX6QZ%2byqZff4lhMJ3TlXNXU3OuBbkXm4PGAgA%2bKCobWUpN9S2hZWS8%2bHnOil9kI2dcyzC9BOoCrHX3vdD4Kw83yD8GQLxGMMXBVVHdm3DiHHiLsDCEYV","descargar bases")</f>
      </c>
    </row>
    <row r="59">
      <c r="A59" s="0" t="inlineStr">
        <is>
          <t xml:space="preserve">3047-60-LE26</t>
        </is>
      </c>
      <c r="B59" s="4" t="inlineStr">
        <is>
          <t xml:space="preserve">EQUIPAMIENTO INFORMÁTICO PARA IMPLEMENTAR SERVIDOR EN EL CENTRO DE INNOVACIÓN TECNOLÓGICA DE LA ARMADA</t>
        </is>
      </c>
      <c r="C59" s="0" t="inlineStr">
        <is>
          <t xml:space="preserve">Publicada</t>
        </is>
      </c>
      <c r="D59" s="0" t="inlineStr">
        <is>
          <t xml:space="preserve">DIRECCION DE ABASTECIMIENTO DE LA ARMADA</t>
        </is>
      </c>
      <c r="E59" s="0" t="inlineStr">
        <is>
          <t xml:space="preserve">ACADEMIA POLITECNICA NAVAL</t>
        </is>
      </c>
      <c r="F59" s="0" t="inlineStr">
        <is>
          <t xml:space="preserve">Región de Valparaíso </t>
        </is>
      </c>
      <c r="G59" s="0"/>
      <c r="H59" s="2">
        <v>46303.664468</v>
      </c>
      <c r="I59" s="2">
        <v>46321.625</v>
      </c>
      <c r="J59" s="0">
        <v>11</v>
      </c>
      <c r="K59" s="3">
        <v>60000000.0</v>
      </c>
      <c r="L59" s="0" t="inlineStr">
        <is>
          <t xml:space="preserve">CLP</t>
        </is>
      </c>
      <c r="M59" s="0" t="inlineStr">
        <is>
          <t xml:space="preserve">LE</t>
        </is>
      </c>
      <c r="N59" s="4" t="inlineStr">
        <is>
          <t xml:space="preserve">Tecnologías de la información, telecomunicaciones y radiodifusión / Equipos informáticos y accesorios / Computadores</t>
        </is>
      </c>
      <c r="O59" s="4" t="inlineStr">
        <is>
          <t xml:space="preserve">1 Unidad · Servidores</t>
        </is>
      </c>
      <c r="P59" s="2"/>
      <c r="Q59" s="2"/>
      <c r="R59" s="0"/>
      <c r="S59" s="0" t="inlineStr">
        <is>
          <t xml:space="preserve">No</t>
        </is>
      </c>
      <c r="T59" s="4"/>
      <c r="U59" s="0" t="inlineStr">
        <is>
          <t xml:space="preserve">FRANCISCO LAYMUNS HEILMAIER</t>
        </is>
      </c>
      <c r="V59" s="4" t="inlineStr">
        <is>
          <t xml:space="preserve">EQUIPAMIENTO INFORMÁTICO PARA IMPLEMENTAR SERVIDOR EN EL CENTRO DE INNOVACIÓN TECNOLÓGICA DE LA ARMADA</t>
        </is>
      </c>
      <c r="W59" s="5" t="str">
        <f>HYPERLINK("https://www.mercadopublico.cl/Procurement/Modules/Attachment/ViewAttachment.aspx?enc=B4P8ozZG6cdXE1StYulUo75ToJNSg59N7bHn8qiOnxfbHbLxCF3RSmDGUdUeC4xd2lWnlab9ron8va1jM%2f%2bAQxgE%2bvtozkhMymDEkI%2fO2oN2NQQeACSiVmPwuzeIIcqGnKTEkGUbp9vYOnzmgd%2fGSuX6FeHnPg3d%2f2yKRNhrJaDWAzDGgAyrZHmepmRdtQT3YA94nKasOclTwgJvUfJh4FNcBuwZWk8c%2fSdLidqt2UIvyfNtthppNzNB%2bDsUHNcAxulXEMBeZXCzVcg4cMzsVYAsKmSP1s5BaP8vNM55Pf8K6dMF99j7F1JOJMP9tWH2","descargar bases")</f>
      </c>
    </row>
    <row r="60">
      <c r="A60" s="0" t="inlineStr">
        <is>
          <t xml:space="preserve">3671-80-LE26</t>
        </is>
      </c>
      <c r="B60" s="4" t="inlineStr">
        <is>
          <t xml:space="preserve">“HABILITACIÓN DE NUEVAS DEPENDENCIAS DE SEGURIDAD MUNICIPAL E INFORMÁTICA DE LA MUNICIPALIDAD DE CHILLÁN VIEJO”</t>
        </is>
      </c>
      <c r="C60" s="0" t="inlineStr">
        <is>
          <t xml:space="preserve">Publicada</t>
        </is>
      </c>
      <c r="D60" s="0" t="inlineStr">
        <is>
          <t xml:space="preserve">ILUSTRE MUNICIPALIDAD DE CHILLAN VIEJO</t>
        </is>
      </c>
      <c r="E60" s="0" t="inlineStr">
        <is>
          <t xml:space="preserve">Secplan</t>
        </is>
      </c>
      <c r="F60" s="0" t="inlineStr">
        <is>
          <t xml:space="preserve">Región del Ñuble</t>
        </is>
      </c>
      <c r="G60" s="0" t="inlineStr">
        <is>
          <t xml:space="preserve">Chillán Viejo</t>
        </is>
      </c>
      <c r="H60" s="2">
        <v>46304.695428</v>
      </c>
      <c r="I60" s="2">
        <v>46321.625</v>
      </c>
      <c r="J60" s="0">
        <v>11</v>
      </c>
      <c r="K60" s="3"/>
      <c r="L60" s="0" t="inlineStr">
        <is>
          <t xml:space="preserve">CLP</t>
        </is>
      </c>
      <c r="M60" s="0" t="inlineStr">
        <is>
          <t xml:space="preserve">LE</t>
        </is>
      </c>
      <c r="N60" s="4" t="inlineStr">
        <is>
          <t xml:space="preserve">Servicios de construcción y mantenimiento / Construcción de edificios en general / Construcción de obras civiles y infraestructuras</t>
        </is>
      </c>
      <c r="O60" s="4" t="inlineStr">
        <is>
          <t xml:space="preserve">1 Unidad · Construcción de obras civiles</t>
        </is>
      </c>
      <c r="P60" s="2"/>
      <c r="Q60" s="2"/>
      <c r="R60" s="0"/>
      <c r="S60" s="0" t="inlineStr">
        <is>
          <t xml:space="preserve">No</t>
        </is>
      </c>
      <c r="T60" s="4"/>
      <c r="U60" s="0" t="inlineStr">
        <is>
          <t xml:space="preserve">MARIA PAZ VASQUEZ RAMIREZ</t>
        </is>
      </c>
      <c r="V60"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60" s="5" t="str">
        <f>HYPERLINK("https://www.mercadopublico.cl/Procurement/Modules/Attachment/ViewAttachment.aspx?enc=aoabWIZQCDOpzYdlMmHCIdTCZ9kTMNhtrdoUwRhlyZklbKyj1WSKwQRRmGYykkkVaIsF9zuh1EdiuiPitBqqxMrCeoeOeofate0Pcz%2fn%2bRxBs0%2bxyYiI3htLc9nST0DVGCjzJw0uyY90bDza1colZnFitUHPOVxXkjumBcB3vFiET5XKRwH06LyJ4Hnv2KpclGoLcozVwRpzMQUKp3tjpM1XIJ1p0PjlcQE1Nd1YH3vuh3oGVD%2f65MD78urCJfdYUZlj7V%2fGpIzlbwauGaVmQB6uS6WlATP8MVUwUZw3xFA4JyG54xHAtxFcYFwgl8rF","descargar bases")</f>
      </c>
    </row>
    <row r="61">
      <c r="A61" s="0" t="inlineStr">
        <is>
          <t xml:space="preserve">577290-4-LP26</t>
        </is>
      </c>
      <c r="B61" s="4" t="inlineStr">
        <is>
          <t xml:space="preserve">RENOVACIÓN Y ADQUISICIÓN DE LICENCIAS DE SOFTWARE</t>
        </is>
      </c>
      <c r="C61" s="0" t="inlineStr">
        <is>
          <t xml:space="preserve">Publicada</t>
        </is>
      </c>
      <c r="D61" s="0" t="inlineStr">
        <is>
          <t xml:space="preserve">SUBSECRETARIA DE TRANSPORTES</t>
        </is>
      </c>
      <c r="E61" s="0" t="inlineStr">
        <is>
          <t xml:space="preserve">Subsidio Nacional Transporte Publico</t>
        </is>
      </c>
      <c r="F61" s="0" t="inlineStr">
        <is>
          <t xml:space="preserve">Región Metropolitana de Santiago</t>
        </is>
      </c>
      <c r="G61" s="0" t="inlineStr">
        <is>
          <t xml:space="preserve">Santiago Centro</t>
        </is>
      </c>
      <c r="H61" s="2">
        <v>46301.443924</v>
      </c>
      <c r="I61" s="2">
        <v>46321.625</v>
      </c>
      <c r="J61" s="0">
        <v>11</v>
      </c>
      <c r="K61" s="3">
        <v>74076010.0</v>
      </c>
      <c r="L61" s="0" t="inlineStr">
        <is>
          <t xml:space="preserve">CLP</t>
        </is>
      </c>
      <c r="M61" s="0" t="inlineStr">
        <is>
          <t xml:space="preserve">LP</t>
        </is>
      </c>
      <c r="N61" s="4" t="inlineStr">
        <is>
          <t xml:space="preserve">Tecnologías de la información, telecomunicaciones y radiodifusión / Software / Software de gestión</t>
        </is>
      </c>
      <c r="O61" s="4" t="inlineStr">
        <is>
          <t xml:space="preserve">4 Unidad · Software de gestión de licencias · 1 Unidad · Software de gestión de licencias · 4 Unidad · Software de gestión de licencias · y 3 más</t>
        </is>
      </c>
      <c r="P61" s="2"/>
      <c r="Q61" s="2"/>
      <c r="R61" s="0"/>
      <c r="S61" s="0" t="inlineStr">
        <is>
          <t xml:space="preserve">No</t>
        </is>
      </c>
      <c r="T61" s="4" t="inlineStr">
        <is>
          <t xml:space="preserve">VER NUMERAL 2.34 SUBCONTRATACIÓN</t>
        </is>
      </c>
      <c r="U61" s="0" t="inlineStr">
        <is>
          <t xml:space="preserve">Mauricio Segovia Briceño</t>
        </is>
      </c>
      <c r="V61"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61" s="5" t="str">
        <f>HYPERLINK("https://www.mercadopublico.cl/Procurement/Modules/Attachment/ViewAttachment.aspx?enc=mxyLY7Y8quzbdDGAJT6ycZzSPyWSX2YtbBi9jkJ9ztfNRV44RT8sSmmY4wFE8NpY0TDvrKkUDZt9QbuDgIYhIHoeJxQZz%2bk8MOcxrizAUATrvF%2bk5SPJYCGSqSgzAEGaL1PFnU5Z4DwrCp5PX6BOp1jH1Dc3UzA9V11iwHp4OWAw731WbBzLXENUCNz9hWwnhb%2fP3SO%2b0HB6ZS2XMzSoeSpP8v2oB48DoDkN04M4IJqcYzV74SanZxaTA7NkVbxhoh0dCJBF0fpQpvgeuD5DzmZEJlaKSSSgdgOdE9hqXhxShRIDAUaxnVr%2b7kUqvSjn","descargar bases")</f>
      </c>
    </row>
    <row r="62">
      <c r="A62" s="0" t="inlineStr">
        <is>
          <t xml:space="preserve">2788-54-LE26</t>
        </is>
      </c>
      <c r="B62" s="4" t="inlineStr">
        <is>
          <t xml:space="preserve">ADQUISICION Y RENOVACION DE SOFTWARES</t>
        </is>
      </c>
      <c r="C62" s="0" t="inlineStr">
        <is>
          <t xml:space="preserve">Publicada</t>
        </is>
      </c>
      <c r="D62" s="0" t="inlineStr">
        <is>
          <t xml:space="preserve">I MUNICIPALIDAD DE PAINE</t>
        </is>
      </c>
      <c r="E62" s="0" t="inlineStr">
        <is>
          <t xml:space="preserve">DEPARTAMENTO DE ADQUISICIONES</t>
        </is>
      </c>
      <c r="F62" s="0" t="inlineStr">
        <is>
          <t xml:space="preserve">Región Metropolitana de Santiago</t>
        </is>
      </c>
      <c r="G62" s="0" t="inlineStr">
        <is>
          <t xml:space="preserve">Paine</t>
        </is>
      </c>
      <c r="H62" s="2">
        <v>46309.660741</v>
      </c>
      <c r="I62" s="2">
        <v>46321.625</v>
      </c>
      <c r="J62" s="0">
        <v>11</v>
      </c>
      <c r="K62" s="3"/>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Unidad · Software de gestión de licencias · 1 Unidad · Software de gestión de licencias · 1 Unidad · Software de gestión de licencias</t>
        </is>
      </c>
      <c r="P62" s="2"/>
      <c r="Q62" s="2"/>
      <c r="R62" s="0" t="inlineStr">
        <is>
          <t xml:space="preserve">12 meses</t>
        </is>
      </c>
      <c r="S62" s="0" t="inlineStr">
        <is>
          <t xml:space="preserve">No</t>
        </is>
      </c>
      <c r="T62" s="4"/>
      <c r="U62" s="0" t="inlineStr">
        <is>
          <t xml:space="preserve">NICOLAS HUIRCAN MOHOR</t>
        </is>
      </c>
      <c r="V62" s="4" t="inlineStr">
        <is>
          <t xml:space="preserve">ADQUISICION Y RENOVACION DE SOFTWARES PARA UTILIZACION EN SECPLA, COMUNICACIONES, DOM Y OTRAS DEPENDENCIAS MUNICIPALES</t>
        </is>
      </c>
      <c r="W62" s="5" t="str">
        <f>HYPERLINK("https://www.mercadopublico.cl/Procurement/Modules/Attachment/ViewAttachment.aspx?enc=6izVVbQteAiItiwvZE5VTmsV8gRnfWgvvtOB%2fP%2fjKqAQ7PA483ER%2byTJVQ1NQ1kY3JfNejEj7KOnY%2fA2NtanyGzUWxIerSmh7Noc%2fklrLyRLA6yNaQ1yl61U7ofrrSfvJoOsX6WLl%2ba3gYyq%2bOyFs6Ups4uU%2fWEJuRghW3os8JBnlQgc7CSw7t5v46XBM9Whjbp%2f9oYwdJRL2jGOKlHN8WsHC37sr662V17QdOyHCXQa8vNTRBR%2frYo%2fboLgLb9WnDKbDz%2bJjB%2bi%2fmWP7%2fYX9WfJo6UNThhqKFIG%2fKDivp05buMtSiMb%2fFN%2fOdDVb9pO","descargar bases")</f>
      </c>
    </row>
    <row r="63">
      <c r="A63" s="0" t="inlineStr">
        <is>
          <t xml:space="preserve">2020-23-LE26</t>
        </is>
      </c>
      <c r="B63" s="4" t="inlineStr">
        <is>
          <t xml:space="preserve">SERVICIOS DE DIGITALIZACIÓN Y EXTRACCIÓN DE TÉXTO.</t>
        </is>
      </c>
      <c r="C63" s="0" t="inlineStr">
        <is>
          <t xml:space="preserve">Publicada</t>
        </is>
      </c>
      <c r="D63" s="0" t="inlineStr">
        <is>
          <t xml:space="preserve">Biblioteca del Congreso Nacional</t>
        </is>
      </c>
      <c r="E63" s="0" t="inlineStr">
        <is>
          <t xml:space="preserve">Biblioteca del Congreso Nacional</t>
        </is>
      </c>
      <c r="F63" s="0" t="inlineStr">
        <is>
          <t xml:space="preserve">Región Metropolitana de Santiago</t>
        </is>
      </c>
      <c r="G63" s="0" t="inlineStr">
        <is>
          <t xml:space="preserve">Santiago Centro</t>
        </is>
      </c>
      <c r="H63" s="2">
        <v>46309.468495</v>
      </c>
      <c r="I63" s="2">
        <v>46321.625694</v>
      </c>
      <c r="J63" s="0">
        <v>11</v>
      </c>
      <c r="K63" s="3">
        <v>72000000.0</v>
      </c>
      <c r="L63" s="0" t="inlineStr">
        <is>
          <t xml:space="preserve">CLP</t>
        </is>
      </c>
      <c r="M63" s="0" t="inlineStr">
        <is>
          <t xml:space="preserve">LE</t>
        </is>
      </c>
      <c r="N63" s="4" t="inlineStr">
        <is>
          <t xml:space="preserve">Servicios basados en ingeniería, ciencias sociales y tecnología de la información / Servicios informáticos / Servicios de datos</t>
        </is>
      </c>
      <c r="O63" s="4" t="inlineStr">
        <is>
          <t xml:space="preserve">1 Unidad · Servicios de digitalización de documentos</t>
        </is>
      </c>
      <c r="P63" s="2"/>
      <c r="Q63" s="2"/>
      <c r="R63" s="0" t="inlineStr">
        <is>
          <t xml:space="preserve">80 días</t>
        </is>
      </c>
      <c r="S63" s="0" t="inlineStr">
        <is>
          <t xml:space="preserve">No</t>
        </is>
      </c>
      <c r="T63" s="4" t="inlineStr">
        <is>
          <t xml:space="preserve">Según lo establecido en numeral 24. Subcontratación de las Bases de Licitación adjuntas.</t>
        </is>
      </c>
      <c r="U63" s="0" t="inlineStr">
        <is>
          <t xml:space="preserve">80 Días Hábiles. Unidad Requirente.</t>
        </is>
      </c>
      <c r="V63" s="4" t="inlineStr">
        <is>
          <t xml:space="preserve">SERVICIO ESPECIALIZADO DE DIGITALIZACIÓN Y EXTRACCIÓN INTELIGENTE DE TEXTO, DEL ARCHIVO DE PRENSA HISTÓRICA DE LA BIBLIOTECA DEL CONGRESO NACIONAL.</t>
        </is>
      </c>
      <c r="W63" s="5" t="str">
        <f>HYPERLINK("https://www.mercadopublico.cl/Procurement/Modules/Attachment/ViewAttachment.aspx?enc=ixTSowIzC6QONCX4MCBxWmfqMlJEY9nzux%2bnkxtxt1%2f%2bQW1V3d0%2fnPP804xYY2UgtxsiwvQ6CozlYoioJbBso2E%2bjCpCjCsXtpXVOiQQ%2biYgeND03WE2ORXg7sxiMg95AwHyu0GZggQY%2flYs7UKpHSIR0Bk%2fv6Ov4Hxk2LidB3UyQBd3IZOL7rWf%2f%2bIstW28kcTVZWBKxsj6N6JJ3iHwPsrakgp9TqhhzFQef30%2byH7vqGw1BUicNO%2b%2fj4cno35tW5b91t9rq5X8kn4fELCM%2b9Tn0dUAjEPo5gNvr1tuHZnDrRc0dV4DBP4i0DZCnnU8","descargar bases")</f>
      </c>
    </row>
    <row r="64">
      <c r="A64" s="0" t="inlineStr">
        <is>
          <t xml:space="preserve">2342-36-LR26</t>
        </is>
      </c>
      <c r="B64" s="4" t="inlineStr">
        <is>
          <t xml:space="preserve">CONCESIÓN DE ESTACIONAMIENTOS EN CALLES DE LA ZONA CENTRO DE LA COMUNA DE SAN BERNARDO APLICANDO SISTEMA DE CONTROL DE TIEMPO DE USO CAPTADORES DE DATOS</t>
        </is>
      </c>
      <c r="C64" s="0" t="inlineStr">
        <is>
          <t xml:space="preserve">Publicada</t>
        </is>
      </c>
      <c r="D64" s="0" t="inlineStr">
        <is>
          <t xml:space="preserve">I MUNICIPALIDAD DE SAN BERNARDO</t>
        </is>
      </c>
      <c r="E64" s="0" t="inlineStr">
        <is>
          <t xml:space="preserve">SECRETARIA COMUNAL DE PLANIFICACION</t>
        </is>
      </c>
      <c r="F64" s="0" t="inlineStr">
        <is>
          <t xml:space="preserve">Región Metropolitana de Santiago</t>
        </is>
      </c>
      <c r="G64" s="0" t="inlineStr">
        <is>
          <t xml:space="preserve">San Bernardo</t>
        </is>
      </c>
      <c r="H64" s="2">
        <v>46289.68978</v>
      </c>
      <c r="I64" s="2">
        <v>46321.625694</v>
      </c>
      <c r="J64" s="0">
        <v>11</v>
      </c>
      <c r="K64" s="3"/>
      <c r="L64" s="0" t="inlineStr">
        <is>
          <t xml:space="preserve">UTM</t>
        </is>
      </c>
      <c r="M64" s="0" t="inlineStr">
        <is>
          <t xml:space="preserve">LR</t>
        </is>
      </c>
      <c r="N64" s="4" t="inlineStr">
        <is>
          <t xml:space="preserve">Servicios de transporte, almacenaje y correo / Servicios de mantención o reparaciones de transportes / Combustible para vehículos de transporte, estacionamiento y otros servicios de apoyo</t>
        </is>
      </c>
      <c r="O64" s="4" t="inlineStr">
        <is>
          <t xml:space="preserve">1 Unidad · Estacionamientos</t>
        </is>
      </c>
      <c r="P64" s="2"/>
      <c r="Q64" s="2"/>
      <c r="R64" s="0" t="inlineStr">
        <is>
          <t xml:space="preserve">36 meses</t>
        </is>
      </c>
      <c r="S64" s="0" t="inlineStr">
        <is>
          <t xml:space="preserve">No</t>
        </is>
      </c>
      <c r="T64" s="4"/>
      <c r="U64" s="0" t="inlineStr">
        <is>
          <t xml:space="preserve">JUAN CARLOS CABRERA CAMPOS</t>
        </is>
      </c>
      <c r="V64" s="4" t="inlineStr">
        <is>
          <t xml:space="preserve">CONCESIÓN DE ESTACIONAMIENTOS EN CALLES DE LA ZONA CENTRO DE LA COMUNA DE SAN BERNARDO, APLICANDO SISTEMA DE CONTROL DE TIEMPO DE USO CAPTADORES DE DATOS</t>
        </is>
      </c>
      <c r="W64" s="5" t="str">
        <f>HYPERLINK("https://www.mercadopublico.cl/Procurement/Modules/Attachment/ViewAttachment.aspx?enc=Whtlki9zmrDySe3YAwOSGFuMw3Q46u8SMvb6g8viGlSu40OEcGaPbZkWX%2bRF1BNIzmrQDrS27gx77lMcFZlweV%2f%2fHQQtblBVxtTP5DFnudNXT77NpnFFEn1FhnSdM%2fGX6VxbFfIXHGCXtnbOjFphx0UIj6six2lyPmv8sZR%2fT%2fdq7beGLsyExv8VX6R6Gfx9%2bNdch6Mw3Hw%2fP2FnNadlsFt630ZxW4za%2bodR%2f5X1mqx%2fKoIyoLPXbJ2hj6fznzUIh8dF1qd138HD6Gy%2fUKIzM8Uc695xZJMvzSAfvmvYjB5VDgtQqCcK8Bim5%2bMNHBGV","descargar bases")</f>
      </c>
    </row>
    <row r="65">
      <c r="A65" s="0" t="inlineStr">
        <is>
          <t xml:space="preserve">3656-167-L126</t>
        </is>
      </c>
      <c r="B65" s="4" t="inlineStr">
        <is>
          <t xml:space="preserve">SERVICIO MESA DE AYUDA PLATAFORMA SIFIM</t>
        </is>
      </c>
      <c r="C65" s="0" t="inlineStr">
        <is>
          <t xml:space="preserve">Publicada</t>
        </is>
      </c>
      <c r="D65" s="0" t="inlineStr">
        <is>
          <t xml:space="preserve">I MUNICIPALIDAD DE REQUINOA</t>
        </is>
      </c>
      <c r="E65" s="0" t="inlineStr">
        <is>
          <t xml:space="preserve">Ilustre Municipalidad de Requínoa</t>
        </is>
      </c>
      <c r="F65" s="0" t="inlineStr">
        <is>
          <t xml:space="preserve">Región del Libertador General Bernardo O´Higgins</t>
        </is>
      </c>
      <c r="G65" s="0" t="inlineStr">
        <is>
          <t xml:space="preserve">Requinoa</t>
        </is>
      </c>
      <c r="H65" s="2">
        <v>46309.733299</v>
      </c>
      <c r="I65" s="2">
        <v>46321.625694</v>
      </c>
      <c r="J65" s="0">
        <v>11</v>
      </c>
      <c r="K65" s="3"/>
      <c r="L65" s="0" t="inlineStr">
        <is>
          <t xml:space="preserve">CLP</t>
        </is>
      </c>
      <c r="M65" s="0" t="inlineStr">
        <is>
          <t xml:space="preserve">L1</t>
        </is>
      </c>
      <c r="N65" s="4" t="inlineStr">
        <is>
          <t xml:space="preserve">Servicios profesionales, administrativos y consultorías de gestión empresarial / Servicios de recursos humanos / Contratación de personal</t>
        </is>
      </c>
      <c r="O65" s="4" t="inlineStr">
        <is>
          <t xml:space="preserve">14 Mes · Profesionales</t>
        </is>
      </c>
      <c r="P65" s="2"/>
      <c r="Q65" s="2"/>
      <c r="R65" s="0" t="inlineStr">
        <is>
          <t xml:space="preserve">14 meses</t>
        </is>
      </c>
      <c r="S65" s="0" t="inlineStr">
        <is>
          <t xml:space="preserve">No</t>
        </is>
      </c>
      <c r="T65" s="4"/>
      <c r="U65" s="0" t="inlineStr">
        <is>
          <t xml:space="preserve">PAULINA FLORES</t>
        </is>
      </c>
      <c r="V65" s="4" t="inlineStr">
        <is>
          <t xml:space="preserve">SERVICIO MESA DE AYUDA PLATAFORMA SIFIM</t>
        </is>
      </c>
      <c r="W65" s="5" t="str">
        <f>HYPERLINK("https://www.mercadopublico.cl/Procurement/Modules/Attachment/ViewAttachment.aspx?enc=Arg9dQ4yYybuZ3D1C6wOmEnIj9RqNQXbMoFQ%2fhAsH7XfkApjA%2fe0W%2fAxwrv88DhllA39u9Rr0rEYHd3EiFF52FiHtUg4DAVLLRN9XG2ykEkEtaPez3ES3x%2f%2bhtIymwsexZChTKkPKk4HcnoxVULFf06aWV1SU0k2V6J5cl2b6hJz%2fDnVyJgxUgK3Uo63QcxLK0rJzxxtQ0hlTo5zkq%2bjuaK73wOZ67PdsYAuJeU3XtdfT8v0yaS5ajbWYZfBdM%2f%2f9rTO9h4JewpokNW09U%2bO%2bUxhskDNBW7q9z%2bRPo3nqyE5kSPF3W1OLQxprDdo6acA","descargar bases")</f>
      </c>
    </row>
    <row r="66">
      <c r="A66" s="0" t="inlineStr">
        <is>
          <t xml:space="preserve">5482-101-LR26</t>
        </is>
      </c>
      <c r="B66" s="4" t="inlineStr">
        <is>
          <t xml:space="preserve">Plataforma IA para video y seguridad urbana</t>
        </is>
      </c>
      <c r="C66" s="0" t="inlineStr">
        <is>
          <t xml:space="preserve">Publicada</t>
        </is>
      </c>
      <c r="D66" s="0" t="inlineStr">
        <is>
          <t xml:space="preserve">I MUNICIPALIDAD DE NUNOA</t>
        </is>
      </c>
      <c r="E66" s="0" t="inlineStr">
        <is>
          <t xml:space="preserve">SECPLANUNOA</t>
        </is>
      </c>
      <c r="F66" s="0" t="inlineStr">
        <is>
          <t xml:space="preserve">Región Metropolitana de Santiago</t>
        </is>
      </c>
      <c r="G66" s="0" t="inlineStr">
        <is>
          <t xml:space="preserve">Ñuñoa</t>
        </is>
      </c>
      <c r="H66" s="2">
        <v>46275.729861</v>
      </c>
      <c r="I66" s="2">
        <v>46321.625694</v>
      </c>
      <c r="J66" s="0">
        <v>11</v>
      </c>
      <c r="K66" s="3"/>
      <c r="L66" s="0" t="inlineStr">
        <is>
          <t xml:space="preserve">CLF</t>
        </is>
      </c>
      <c r="M66" s="0" t="inlineStr">
        <is>
          <t xml:space="preserve">LR</t>
        </is>
      </c>
      <c r="N66" s="4" t="inlineStr">
        <is>
          <t xml:space="preserve">Tecnologías de la información, telecomunicaciones y radiodifusión / Software / Programas de desarrollo</t>
        </is>
      </c>
      <c r="O66" s="4" t="inlineStr">
        <is>
          <t xml:space="preserve">1 Global · Software de desarrollo de plataforma Web · 26 Mes · Software de desarrollo de plataforma Web</t>
        </is>
      </c>
      <c r="P66" s="2"/>
      <c r="Q66" s="2"/>
      <c r="R66" s="0" t="inlineStr">
        <is>
          <t xml:space="preserve">26 meses</t>
        </is>
      </c>
      <c r="S66" s="0" t="inlineStr">
        <is>
          <t xml:space="preserve">No</t>
        </is>
      </c>
      <c r="T66" s="4"/>
      <c r="U66" s="0" t="inlineStr">
        <is>
          <t xml:space="preserve">Katherinne Ayala</t>
        </is>
      </c>
      <c r="V66"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66" s="5" t="str">
        <f>HYPERLINK("https://www.mercadopublico.cl/Procurement/Modules/Attachment/ViewAttachment.aspx?enc=A7RizPIS0KYxuXHZxCVEpj2%2fQdhKmS0ouaM6p90%2fBEC%2f4SXTJKxNefibxzwpX%2fTro5avks8lrVCG3dZ3CTtzDmcFZrWAkOULDg47xpg4NLbLAPtpE%2bjSOlE2ttfjuqdbvSEVUX1uF7PSQcqg1slUDDlZQX7JefIuks5GjdaFLQhOA7TwX35JA9CGNkSDkbKtwcKlSMfVFUDL5nFDujFqGh7IcDasyZDhofLjZ7J%2bTuhD5rdK%2bpvnnR8GoCwNbz9Q3qsufzEp5veiv%2fWnzkYhjlSS%2f%2biJn8UKs%2bh2HBkqy2Ix1Lsp%2bjQ%2flFdGIzFD6oJn","descargar bases")</f>
      </c>
    </row>
    <row r="67">
      <c r="A67" s="0" t="inlineStr">
        <is>
          <t xml:space="preserve">1622-22-LP26</t>
        </is>
      </c>
      <c r="B67" s="4" t="inlineStr">
        <is>
          <t xml:space="preserve">ARRIENDO SISTEMA DE INFORMACIÓN DE LABORATORIO HSV</t>
        </is>
      </c>
      <c r="C67" s="0" t="inlineStr">
        <is>
          <t xml:space="preserve">Publicada</t>
        </is>
      </c>
      <c r="D67" s="0" t="inlineStr">
        <is>
          <t xml:space="preserve">SERVICIO DE SALUD HOSPITAL DE SAN VICENTE DE TAGUA TAGUA</t>
        </is>
      </c>
      <c r="E67" s="0" t="inlineStr">
        <is>
          <t xml:space="preserve">Hospital de San Vicente de Tagua Tagua</t>
        </is>
      </c>
      <c r="F67" s="0" t="inlineStr">
        <is>
          <t xml:space="preserve">Región del Libertador General Bernardo O´Higgins</t>
        </is>
      </c>
      <c r="G67" s="0" t="inlineStr">
        <is>
          <t xml:space="preserve">San Vicente de Tagua Tagua</t>
        </is>
      </c>
      <c r="H67" s="2">
        <v>46301.633356</v>
      </c>
      <c r="I67" s="2">
        <v>46321.645833</v>
      </c>
      <c r="J67" s="0">
        <v>11</v>
      </c>
      <c r="K67" s="3"/>
      <c r="L67" s="0" t="inlineStr">
        <is>
          <t xml:space="preserve">CLP</t>
        </is>
      </c>
      <c r="M67" s="0" t="inlineStr">
        <is>
          <t xml:space="preserve">LP</t>
        </is>
      </c>
      <c r="N67" s="4" t="inlineStr">
        <is>
          <t xml:space="preserve">Tecnologías de la información, telecomunicaciones y radiodifusión / Software / Software de consultas y gestión de datos</t>
        </is>
      </c>
      <c r="O67" s="4" t="inlineStr">
        <is>
          <t xml:space="preserve">1 Unidad · Software del sistema de administración de bases de datos</t>
        </is>
      </c>
      <c r="P67" s="2"/>
      <c r="Q67" s="2"/>
      <c r="R67" s="0" t="inlineStr">
        <is>
          <t xml:space="preserve">36 meses</t>
        </is>
      </c>
      <c r="S67" s="0" t="inlineStr">
        <is>
          <t xml:space="preserve">No</t>
        </is>
      </c>
      <c r="T67" s="4"/>
      <c r="U67" s="0" t="inlineStr">
        <is>
          <t xml:space="preserve">ANIBAL DONOSO MARTIN</t>
        </is>
      </c>
      <c r="V67"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67" s="5" t="str">
        <f>HYPERLINK("https://www.mercadopublico.cl/Procurement/Modules/Attachment/ViewAttachment.aspx?enc=VydHDE83vrkKyFsdTYahRSmTAvClHaDL42GO0zKCkorIz9BFSGdhL%2f7weXMM6SeMh8AxTfX%2fxW%2f78R8YRC2O0QzyY%2fjtS4K89laUFFh9v3IC8DgJx%2fYLz0Oq7Xh0ftB9e%2b5tuKixa2%2bAc2aI01AdrvGKrYlcu0LxtuJepyUv7L0wan%2f8Ivj%2bcl3MELWJb7a9NludC4ztRWbHF8NRE7%2bSCPwITVbOx1a0AWwcNxZVV4P46VZvL%2fmCDTIyFZl7VnoWSL3BUZsYEVD9qlsXycguOEs3yJBlltRu%2bWBbctWYd7REf6I5HA8yGl94KVQKS1Co","descargar bases")</f>
      </c>
    </row>
    <row r="68">
      <c r="A68" s="0" t="inlineStr">
        <is>
          <t xml:space="preserve">634-92-LE26</t>
        </is>
      </c>
      <c r="B68" s="4" t="inlineStr">
        <is>
          <t xml:space="preserve">SISTEMA RADIOGRÁFICO ODONTOLÓGICO DIGITAL</t>
        </is>
      </c>
      <c r="C68" s="0" t="inlineStr">
        <is>
          <t xml:space="preserve">Publicada</t>
        </is>
      </c>
      <c r="D68" s="0" t="inlineStr">
        <is>
          <t xml:space="preserve">DIRECCION GENERAL DE GENDARMERIA DE CHIL</t>
        </is>
      </c>
      <c r="E68" s="0" t="inlineStr">
        <is>
          <t xml:space="preserve">Dirección Nacional</t>
        </is>
      </c>
      <c r="F68" s="0" t="inlineStr">
        <is>
          <t xml:space="preserve">Región Metropolitana de Santiago</t>
        </is>
      </c>
      <c r="G68" s="0" t="inlineStr">
        <is>
          <t xml:space="preserve">Santiago</t>
        </is>
      </c>
      <c r="H68" s="2">
        <v>46297.655498</v>
      </c>
      <c r="I68" s="2">
        <v>46321.645833</v>
      </c>
      <c r="J68" s="0">
        <v>11</v>
      </c>
      <c r="K68" s="3">
        <v>35009800.0</v>
      </c>
      <c r="L68" s="0" t="inlineStr">
        <is>
          <t xml:space="preserve">CLP</t>
        </is>
      </c>
      <c r="M68" s="0" t="inlineStr">
        <is>
          <t xml:space="preserve">LE</t>
        </is>
      </c>
      <c r="N68" s="4" t="inlineStr">
        <is>
          <t xml:space="preserve">Equipamiento y suministros médicos / Equipos y suministros odontológicos / Equipo y suministros para imágenes dentales</t>
        </is>
      </c>
      <c r="O68" s="4" t="inlineStr">
        <is>
          <t xml:space="preserve">1 Unidad · Unidades de Rayos X dentales</t>
        </is>
      </c>
      <c r="P68" s="2"/>
      <c r="Q68" s="2"/>
      <c r="R68" s="0"/>
      <c r="S68" s="0" t="inlineStr">
        <is>
          <t xml:space="preserve">No</t>
        </is>
      </c>
      <c r="T68" s="4"/>
      <c r="U68" s="0" t="inlineStr">
        <is>
          <t xml:space="preserve">José Silva Díaz</t>
        </is>
      </c>
      <c r="V68"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68" s="5" t="str">
        <f>HYPERLINK("https://www.mercadopublico.cl/Procurement/Modules/Attachment/ViewAttachment.aspx?enc=1thAsuB0r2fQe66B%2bM%2fhQp0QJNiLGDDRcICtDsIY%2bmrYz6QmcygWBjNwj9oOETC5%2fsDH3QGZk%2bAi2gJuVkc%2fCrqAXSbOeVKcm8OM7db0WeU2CxituGDUTm%2br0uVCOrdEBk6fQeZEPQyQ%2bI79Y4vC47Y0XHyRNriSMkaOzhHDr1mwiPjEqmgbQgJiqiyXdskPG8aN6v8VbwpJMuldjxxfgFkTDFL7VYC9SdOgFFxSm5PuILm0AWYuFqCL8IxM36UiQy650gSkBpVPBKuzrDmnzabO4Gw9O7KDEqYSKgDxJg2B7XhYKJPMcXpEgjpg7KKV","descargar bases")</f>
      </c>
    </row>
    <row r="69">
      <c r="A69" s="0" t="inlineStr">
        <is>
          <t xml:space="preserve">752-39-LE26</t>
        </is>
      </c>
      <c r="B69" s="4" t="inlineStr">
        <is>
          <t xml:space="preserve">Adquisición y habilitación de Servidores para plataforma tecnológica</t>
        </is>
      </c>
      <c r="C69" s="0" t="inlineStr">
        <is>
          <t xml:space="preserve">Publicada</t>
        </is>
      </c>
      <c r="D69" s="0" t="inlineStr">
        <is>
          <t xml:space="preserve">GOBIERNO REGIONAL DECIMA REGION LOS LAGOS</t>
        </is>
      </c>
      <c r="E69" s="0" t="inlineStr">
        <is>
          <t xml:space="preserve">Gobierno Regional de Los Lagos</t>
        </is>
      </c>
      <c r="F69" s="0" t="inlineStr">
        <is>
          <t xml:space="preserve">Región de los Lagos </t>
        </is>
      </c>
      <c r="G69" s="0"/>
      <c r="H69" s="2">
        <v>46308.448495</v>
      </c>
      <c r="I69" s="2">
        <v>46321.645833</v>
      </c>
      <c r="J69" s="0">
        <v>11</v>
      </c>
      <c r="K69" s="3">
        <v>64000000.0</v>
      </c>
      <c r="L69" s="0" t="inlineStr">
        <is>
          <t xml:space="preserve">CLP</t>
        </is>
      </c>
      <c r="M69" s="0" t="inlineStr">
        <is>
          <t xml:space="preserve">LE</t>
        </is>
      </c>
      <c r="N69" s="4" t="inlineStr">
        <is>
          <t xml:space="preserve">Tecnologías de la información, telecomunicaciones y radiodifusión / Equipos informáticos y accesorios / Computadores</t>
        </is>
      </c>
      <c r="O69" s="4" t="inlineStr">
        <is>
          <t xml:space="preserve">1 Unidad · Servidores</t>
        </is>
      </c>
      <c r="P69" s="2"/>
      <c r="Q69" s="2"/>
      <c r="R69" s="0" t="inlineStr">
        <is>
          <t xml:space="preserve">90 días</t>
        </is>
      </c>
      <c r="S69" s="0" t="inlineStr">
        <is>
          <t xml:space="preserve">No</t>
        </is>
      </c>
      <c r="T69" s="4" t="inlineStr">
        <is>
          <t xml:space="preserve">Art. 32° Bases: se prohíbe subcontratar instalación, configuración, migración, retiro y borrado seguro, y personal del Anexo N°6. Solo se permite subcontratar trasladologística y soporte del fabricante, hasta 30% del contrato.</t>
        </is>
      </c>
      <c r="U69" s="0" t="inlineStr">
        <is>
          <t xml:space="preserve">Eduardo Madrid Osorio</t>
        </is>
      </c>
      <c r="V69" s="4" t="inlineStr">
        <is>
          <t xml:space="preserve">El Gobierno Regional de Los Lagos requiere la reposición, adquisición, instalación y habilitación de 2 servidores, con migración de máquinas virtuales y continuidad operacional, para su plataforma tecnológica.</t>
        </is>
      </c>
      <c r="W69" s="5" t="str">
        <f>HYPERLINK("https://www.mercadopublico.cl/Procurement/Modules/Attachment/ViewAttachment.aspx?enc=AXtgH2RQagWgwcf1cygiKz486zVniIfdaXzUG49lePtzHsGeR8J6WEJHzCj646uulDZrHatx9Ok7mD%2bgSdxX52JeOCXAcfu96driv8C%2fnzoRhNvchkQtC8TSqnGB5eStRNPpKOr4UXVa3Kw9ODc48pl9gV9S3lK%2bijAZMi3ng74aucVrc8o4Eil%2fc%2fO8kcem100BYZSg5j8O8Y7FIv7%2bsLRjRDX7NNa31HFnGCnBCzMF49En6PtaM%2bZZaH7DMzHCXue9endGfihVS6NlQ%2fl8YIo07zsHng%2fKzmbQwWbqlpmekX3H7emindcwbZyTDXh%2b","descargar bases")</f>
      </c>
    </row>
    <row r="70">
      <c r="A70" s="0" t="inlineStr">
        <is>
          <t xml:space="preserve">2403-73-LR26</t>
        </is>
      </c>
      <c r="B70" s="4" t="inlineStr">
        <is>
          <t xml:space="preserve">Servicios de conectividad telecomunicaciones operación de infraestructura y gestión de ciberseguridad.</t>
        </is>
      </c>
      <c r="C70" s="0" t="inlineStr">
        <is>
          <t xml:space="preserve">Publicada</t>
        </is>
      </c>
      <c r="D70" s="0" t="inlineStr">
        <is>
          <t xml:space="preserve">I MUNICIPALIDAD DE PENALOLEN</t>
        </is>
      </c>
      <c r="E70" s="0" t="inlineStr">
        <is>
          <t xml:space="preserve">I.MUNICIPALIDAD DE PEÑALOLEN</t>
        </is>
      </c>
      <c r="F70" s="0" t="inlineStr">
        <is>
          <t xml:space="preserve">Región Metropolitana de Santiago</t>
        </is>
      </c>
      <c r="G70" s="0" t="inlineStr">
        <is>
          <t xml:space="preserve">Peñalolén</t>
        </is>
      </c>
      <c r="H70" s="2">
        <v>46288.604861</v>
      </c>
      <c r="I70" s="2">
        <v>46321.645833</v>
      </c>
      <c r="J70" s="0">
        <v>11</v>
      </c>
      <c r="K70" s="3">
        <v>1910656000.0</v>
      </c>
      <c r="L70" s="0" t="inlineStr">
        <is>
          <t xml:space="preserve">CLP</t>
        </is>
      </c>
      <c r="M70" s="0" t="inlineStr">
        <is>
          <t xml:space="preserve">LR</t>
        </is>
      </c>
      <c r="N70" s="4" t="inlineStr">
        <is>
          <t xml:space="preserve">Servicios de construcción y mantenimiento / Servicios de atención, mantenimiento y reparaciones de edificios / Servicios eléctricos</t>
        </is>
      </c>
      <c r="O70" s="4" t="inlineStr">
        <is>
          <t xml:space="preserve">1 Global · Instalación de sistemas de seguridad</t>
        </is>
      </c>
      <c r="P70" s="2"/>
      <c r="Q70" s="2"/>
      <c r="R70" s="0" t="inlineStr">
        <is>
          <t xml:space="preserve">51 meses</t>
        </is>
      </c>
      <c r="S70" s="0" t="inlineStr">
        <is>
          <t xml:space="preserve">No</t>
        </is>
      </c>
      <c r="T70" s="4" t="inlineStr">
        <is>
          <t xml:space="preserve">Previa autorización de la inspección técnica, y siempre que no supere el 30% del precio total de la contratación.</t>
        </is>
      </c>
      <c r="U70" s="0" t="inlineStr">
        <is>
          <t xml:space="preserve">Matías Allende Contreras</t>
        </is>
      </c>
      <c r="V70"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70" s="5" t="str">
        <f>HYPERLINK("https://www.mercadopublico.cl/Procurement/Modules/Attachment/ViewAttachment.aspx?enc=n2qhO%2bYPrVshQmZ2pfKiQc3353ilYdMhYHRebzjYSexLIhn0nJRy%2bmDwnf5TS30xwub5jlXF288IHDKjOyj5%2bv6bTWIPD6Aqvoq27PIlpZN%2b5ZdROV1RAlXB9y1hYaco0uTns7Q3U27eN82WbIAeY4B%2bGNZFO9nx0UubjSwRiqUSk%2bBoj6wXk8vfof3Zom4fwMludqyxIOCvaYLpLh7pbHg%2fj2YV0I9y8LchrZFyvM6GchXwv6ThUXGKmW5XuV3%2bOx%2fSTymoD3ckfSdDTR6%2ftxGnQKsgKdmYf2IVt7yuzo8wwIXfq%2b%2ftpLV9iez%2baY1Z","descargar bases")</f>
      </c>
    </row>
    <row r="71">
      <c r="A71" s="0" t="inlineStr">
        <is>
          <t xml:space="preserve">1057509-348-LE26</t>
        </is>
      </c>
      <c r="B71" s="4" t="inlineStr">
        <is>
          <t xml:space="preserve">CONTRATACIÓN DE SERVICIO DE CONECTIVIDAD DE DATOS PRIVADOS IPMPLS o EQUIVALENTE vps</t>
        </is>
      </c>
      <c r="C71" s="0" t="inlineStr">
        <is>
          <t xml:space="preserve">Publicada</t>
        </is>
      </c>
      <c r="D71" s="0" t="inlineStr">
        <is>
          <t xml:space="preserve">HOSPITAL CLINICO HERMINDA MARTIN</t>
        </is>
      </c>
      <c r="E71" s="0" t="inlineStr">
        <is>
          <t xml:space="preserve">Bienes y Servicios</t>
        </is>
      </c>
      <c r="F71" s="0" t="inlineStr">
        <is>
          <t xml:space="preserve">Región del Ñuble</t>
        </is>
      </c>
      <c r="G71" s="0" t="inlineStr">
        <is>
          <t xml:space="preserve">Chillán</t>
        </is>
      </c>
      <c r="H71" s="2">
        <v>46309.456655</v>
      </c>
      <c r="I71" s="2">
        <v>46321.666667</v>
      </c>
      <c r="J71" s="0">
        <v>11</v>
      </c>
      <c r="K71" s="3"/>
      <c r="L71" s="0" t="inlineStr">
        <is>
          <t xml:space="preserve">CLP</t>
        </is>
      </c>
      <c r="M71" s="0" t="inlineStr">
        <is>
          <t xml:space="preserve">LE</t>
        </is>
      </c>
      <c r="N71" s="4" t="inlineStr">
        <is>
          <t xml:space="preserve">Tecnologías de la información, telecomunicaciones y radiodifusión / Equipos informáticos y accesorios / Computadores</t>
        </is>
      </c>
      <c r="O71" s="4" t="inlineStr">
        <is>
          <t xml:space="preserve">1 Unidad no definida · Computadores personales</t>
        </is>
      </c>
      <c r="P71" s="2"/>
      <c r="Q71" s="2"/>
      <c r="R71" s="0" t="inlineStr">
        <is>
          <t xml:space="preserve">36 meses</t>
        </is>
      </c>
      <c r="S71" s="0" t="inlineStr">
        <is>
          <t xml:space="preserve">No</t>
        </is>
      </c>
      <c r="T71" s="4"/>
      <c r="U71" s="0" t="inlineStr">
        <is>
          <t xml:space="preserve">...</t>
        </is>
      </c>
      <c r="V71"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71" s="5" t="str">
        <f>HYPERLINK("https://www.mercadopublico.cl/Procurement/Modules/Attachment/ViewAttachment.aspx?enc=7L6BSZJSuRl8hTujaUB7636bCpxX2zRKyJChww1TAmL%2f7bGiiDVWfRYkt%2buHz4J80AMh4xbiEzOBrJlhYVh6CoErONDJhXFoUdVbgOCAnY6CQWKArcDLcX4qwBKCMrCQXyA5momPtug1bMCi7hVmxMxu2jEGTxThSV7DG3v3htGCaPEZEaLFXE8K1XhPsZy%2fwz8OfRe0RIUYavH6aWmeZYvkH9hetPPhWxAUanVra4Nxjp8rkgQGftTxmJ00NpUPDpGj%2f9k7ujGsn%2bFQrQn2pmrKo0dngNeUvfPdn3S%2b4z%2b4ByzNXHZtAszBeMBHFrUy","descargar bases")</f>
      </c>
    </row>
    <row r="72">
      <c r="A72" s="0" t="inlineStr">
        <is>
          <t xml:space="preserve">3755-6-LP26</t>
        </is>
      </c>
      <c r="B72" s="4" t="inlineStr">
        <is>
          <t xml:space="preserve">Serv datos de tránsito y tráfico de dispositivos</t>
        </is>
      </c>
      <c r="C72" s="0" t="inlineStr">
        <is>
          <t xml:space="preserve">Publicada</t>
        </is>
      </c>
      <c r="D72" s="0" t="inlineStr">
        <is>
          <t xml:space="preserve">SUBSECRETARIA DE TRANSPORTES</t>
        </is>
      </c>
      <c r="E72" s="0" t="inlineStr">
        <is>
          <t xml:space="preserve">Fiscalización y Control</t>
        </is>
      </c>
      <c r="F72" s="0" t="inlineStr">
        <is>
          <t xml:space="preserve">Región Metropolitana de Santiago</t>
        </is>
      </c>
      <c r="G72" s="0" t="inlineStr">
        <is>
          <t xml:space="preserve">Santiago</t>
        </is>
      </c>
      <c r="H72" s="2">
        <v>46301.501343</v>
      </c>
      <c r="I72" s="2">
        <v>46321.666667</v>
      </c>
      <c r="J72" s="0">
        <v>11</v>
      </c>
      <c r="K72" s="3"/>
      <c r="L72" s="0" t="inlineStr">
        <is>
          <t xml:space="preserve">CLP</t>
        </is>
      </c>
      <c r="M72" s="0" t="inlineStr">
        <is>
          <t xml:space="preserve">LP</t>
        </is>
      </c>
      <c r="N72" s="4" t="inlineStr">
        <is>
          <t xml:space="preserve">Tecnologías de la información, telecomunicaciones y radiodifusión / Software / Software de consultas y gestión de datos</t>
        </is>
      </c>
      <c r="O72" s="4" t="inlineStr">
        <is>
          <t xml:space="preserve">1 Global · Software de extracción de datos</t>
        </is>
      </c>
      <c r="P72" s="2"/>
      <c r="Q72" s="2"/>
      <c r="R72" s="0" t="inlineStr">
        <is>
          <t xml:space="preserve">12 meses</t>
        </is>
      </c>
      <c r="S72" s="0" t="inlineStr">
        <is>
          <t xml:space="preserve">No</t>
        </is>
      </c>
      <c r="T72" s="4"/>
      <c r="U72" s="0" t="inlineStr">
        <is>
          <t xml:space="preserve">CARLOS TORO ARAYA</t>
        </is>
      </c>
      <c r="V72"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72" s="5" t="str">
        <f>HYPERLINK("https://www.mercadopublico.cl/Procurement/Modules/Attachment/ViewAttachment.aspx?enc=9TiVhKy5Cr2ZAaWkwwe8bJ2K5YlIzACfiEoWFUHXdjt%2fxuvGUoDlXSOZiBiD2CZ5pe%2bpbecPAvVOUo0P04%2bikI1yInc%2b2KWY%2bZtmhsbP6i1X%2f8z7io7pmB%2boNxs3PKtkbOPY9md1yXb2yVOJL9eSvY4g0lARa4NM754LDQfl697THrKy%2fmL1RJ%2bPPlYktWQXJ0n28%2bBgbjE7d4u3KX%2bIjU2wvN4owMuSk5WzIyQ8cSecETYfDAEMc6yUKiProMAPwLIs9mkptCcvndwj%2f%2f5ISz50ZqzCVusdHuLftmdPIf%2b6XQgehLL0L8j2lT%2bj9SLs","descargar bases")</f>
      </c>
    </row>
    <row r="73">
      <c r="A73" s="0" t="inlineStr">
        <is>
          <t xml:space="preserve">765-25-L126</t>
        </is>
      </c>
      <c r="B73" s="4" t="inlineStr">
        <is>
          <t xml:space="preserve">Desarrollo de soluciones informáticas para la implementación del plan de transformación digital de la CONADI 2026-2029</t>
        </is>
      </c>
      <c r="C73" s="0" t="inlineStr">
        <is>
          <t xml:space="preserve">Publicada</t>
        </is>
      </c>
      <c r="D73" s="0" t="inlineStr">
        <is>
          <t xml:space="preserve">CORP NACIONAL DE DESARROLLO INDIGENA</t>
        </is>
      </c>
      <c r="E73" s="0" t="inlineStr">
        <is>
          <t xml:space="preserve">CORP NACIONAL DE DESARROLLO INDIGENA</t>
        </is>
      </c>
      <c r="F73" s="0" t="inlineStr">
        <is>
          <t xml:space="preserve">Región del Biobío </t>
        </is>
      </c>
      <c r="G73" s="0" t="inlineStr">
        <is>
          <t xml:space="preserve">Concepción</t>
        </is>
      </c>
      <c r="H73" s="2">
        <v>46308.40066</v>
      </c>
      <c r="I73" s="2">
        <v>46321.700694</v>
      </c>
      <c r="J73" s="0">
        <v>11</v>
      </c>
      <c r="K73" s="3">
        <v>6000000.0</v>
      </c>
      <c r="L73" s="0" t="inlineStr">
        <is>
          <t xml:space="preserve">CLP</t>
        </is>
      </c>
      <c r="M73" s="0" t="inlineStr">
        <is>
          <t xml:space="preserve">L1</t>
        </is>
      </c>
      <c r="N73" s="4" t="inlineStr">
        <is>
          <t xml:space="preserve">Tecnologías de la información, telecomunicaciones y radiodifusión / Software / Software para trabajo en redes</t>
        </is>
      </c>
      <c r="O73" s="4" t="inlineStr">
        <is>
          <t xml:space="preserve">1 Unidad · Firmware y software de conmutación de WAN</t>
        </is>
      </c>
      <c r="P73" s="2"/>
      <c r="Q73" s="2"/>
      <c r="R73" s="0"/>
      <c r="S73" s="0" t="inlineStr">
        <is>
          <t xml:space="preserve">No</t>
        </is>
      </c>
      <c r="T73" s="4"/>
      <c r="U73" s="0"/>
      <c r="V73"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73" s="5" t="str">
        <f>HYPERLINK("https://www.mercadopublico.cl/Procurement/Modules/Attachment/ViewAttachment.aspx?enc=XpesBwOnQkD9nmjt8GbY6sH9RhQkzbS0uwnMzYuc%2f%2bpx%2bzIl5Sxed%2fFRpUvZrUXtJeT5p0%2bDHe0wyEIuNAQVgHdoC0Dq3YRMEMmQ1DjXshPFNLlc6pel0pUBG7tVP9waOzhOwFjCwiSS%2fx43Cv2W1mY0wnAYNo%2flrUyEaJYfSGzkChMFdDuMSYaUOq4j0cFm4klPS1R9KckTUtOIln06L6eXzu%2bnRKfvZgoEyUTaePxE56uY6Xr2NzN8nKwrVemz7FkyV1z6dh8TQVe71MWcDik1VuJTaZAZitmG4HRF5%2bSjcyDAygkhPjH4t9e6IcKW","descargar bases")</f>
      </c>
    </row>
    <row r="74">
      <c r="A74" s="0" t="inlineStr">
        <is>
          <t xml:space="preserve">610-20-LE26</t>
        </is>
      </c>
      <c r="B74" s="4" t="inlineStr">
        <is>
          <t xml:space="preserve">Proyecto de Automatización y uso de Inteligencia Artificial en los modelos de Proyección de Demanda</t>
        </is>
      </c>
      <c r="C74" s="0" t="inlineStr">
        <is>
          <t xml:space="preserve">Publicada</t>
        </is>
      </c>
      <c r="D74" s="0" t="inlineStr">
        <is>
          <t xml:space="preserve">Comisión Nacional de Energía</t>
        </is>
      </c>
      <c r="E74" s="0" t="inlineStr">
        <is>
          <t xml:space="preserve">Comisión Nacional de Energía</t>
        </is>
      </c>
      <c r="F74" s="0" t="inlineStr">
        <is>
          <t xml:space="preserve">Región Metropolitana de Santiago</t>
        </is>
      </c>
      <c r="G74" s="0" t="inlineStr">
        <is>
          <t xml:space="preserve">Santiago Centro</t>
        </is>
      </c>
      <c r="H74" s="2">
        <v>46309.432894</v>
      </c>
      <c r="I74" s="2">
        <v>46321.708333</v>
      </c>
      <c r="J74" s="0">
        <v>11</v>
      </c>
      <c r="K74" s="3">
        <v>20467000.0</v>
      </c>
      <c r="L74" s="0" t="inlineStr">
        <is>
          <t xml:space="preserve">CLP</t>
        </is>
      </c>
      <c r="M74" s="0" t="inlineStr">
        <is>
          <t xml:space="preserve">LE</t>
        </is>
      </c>
      <c r="N74" s="4" t="inlineStr">
        <is>
          <t xml:space="preserve">Servicios basados en ingeniería, ciencias sociales y tecnología de la información / Servicios profesionales de ingeniería / Ingeniería eléctrica y electrónica</t>
        </is>
      </c>
      <c r="O74" s="4" t="inlineStr">
        <is>
          <t xml:space="preserve">1 Unidad · Ingeniería eléctrica</t>
        </is>
      </c>
      <c r="P74" s="2"/>
      <c r="Q74" s="2"/>
      <c r="R74" s="0" t="inlineStr">
        <is>
          <t xml:space="preserve">180 días</t>
        </is>
      </c>
      <c r="S74" s="0" t="inlineStr">
        <is>
          <t xml:space="preserve">No</t>
        </is>
      </c>
      <c r="T74" s="4" t="inlineStr">
        <is>
          <t xml:space="preserve">De acuerdo a lo establecido en Bases de Licitación adjuntas.</t>
        </is>
      </c>
      <c r="U74" s="0" t="inlineStr">
        <is>
          <t xml:space="preserve">Martín Osorio Campusano</t>
        </is>
      </c>
      <c r="V74"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74" s="5" t="str">
        <f>HYPERLINK("https://www.mercadopublico.cl/Procurement/Modules/Attachment/ViewAttachment.aspx?enc=hPf%2fmxzcFjwmh613v4ar7lJssk4TzLszWic8Zw0K00gVeqKwqmYYFvS%2fExnb7FTBmPfBJ%2b6JjGr2rPDdbJCFL25yd%2b4faMBg5M8vIp9RuUTUSuj03C5n%2fIJlYaNNKT0DWbtuEgPY4swI231DDwiQFE3b3sNgmfSdcHwKq%2b4pDxtiVLzCkett%2ffF13dAqSihVIitCsZlfGkdZ%2fu%2fUgufgfahXUbKefVPhgcxHHIbWvJZ04NCwfScixDEacLyUqW%2f77pajIq8xUEPctjRBOI6ReRNXzboGuCnsKW2kF5i4EWWExLfFBnaGOvW%2fX0Kd%2bRlC","descargar bases")</f>
      </c>
    </row>
    <row r="75">
      <c r="A75" s="0" t="inlineStr">
        <is>
          <t xml:space="preserve">799595-5-LP26</t>
        </is>
      </c>
      <c r="B75" s="4" t="inlineStr">
        <is>
          <t xml:space="preserve">Servicio de Cloud Computing MINDEP</t>
        </is>
      </c>
      <c r="C75" s="0" t="inlineStr">
        <is>
          <t xml:space="preserve">Publicada</t>
        </is>
      </c>
      <c r="D75" s="0" t="inlineStr">
        <is>
          <t xml:space="preserve">SUBSECRETARIA DEL DEPORTE</t>
        </is>
      </c>
      <c r="E75" s="0" t="inlineStr">
        <is>
          <t xml:space="preserve">Subsecretaría del Deporte</t>
        </is>
      </c>
      <c r="F75" s="0" t="inlineStr">
        <is>
          <t xml:space="preserve">Región Metropolitana de Santiago</t>
        </is>
      </c>
      <c r="G75" s="0" t="inlineStr">
        <is>
          <t xml:space="preserve">Providencia</t>
        </is>
      </c>
      <c r="H75" s="2">
        <v>46301.788206</v>
      </c>
      <c r="I75" s="2">
        <v>46321.708333</v>
      </c>
      <c r="J75" s="0">
        <v>11</v>
      </c>
      <c r="K75" s="3">
        <v>106618.0</v>
      </c>
      <c r="L75" s="0" t="inlineStr">
        <is>
          <t xml:space="preserve">USD</t>
        </is>
      </c>
      <c r="M75" s="0" t="inlineStr">
        <is>
          <t xml:space="preserve">LP</t>
        </is>
      </c>
      <c r="N75" s="4" t="inlineStr">
        <is>
          <t xml:space="preserve">Servicios basados en ingeniería, ciencias sociales y tecnología de la información / Servicios informáticos / Servicios de datos</t>
        </is>
      </c>
      <c r="O75" s="4" t="inlineStr">
        <is>
          <t xml:space="preserve">1 Unidad · Centro de servicios de datos</t>
        </is>
      </c>
      <c r="P75" s="2"/>
      <c r="Q75" s="2"/>
      <c r="R75" s="0" t="inlineStr">
        <is>
          <t xml:space="preserve">36 meses</t>
        </is>
      </c>
      <c r="S75" s="0" t="inlineStr">
        <is>
          <t xml:space="preserve">No</t>
        </is>
      </c>
      <c r="T75" s="4"/>
      <c r="U75" s="0" t="inlineStr">
        <is>
          <t xml:space="preserve">Ignacio Sáez</t>
        </is>
      </c>
      <c r="V75" s="4" t="inlineStr">
        <is>
          <t xml:space="preserve">Servicio de Cloud Computing y Servicios Asociados para la Subsecretaría del Deporte</t>
        </is>
      </c>
      <c r="W75" s="5" t="str">
        <f>HYPERLINK("https://www.mercadopublico.cl/Procurement/Modules/Attachment/ViewAttachment.aspx?enc=v3WvPW3isLHWjIZBzRW326XXdRJO0F32MqbKLFCWnBeouLfdSKQpX90xyj4iPBUeNNMbqXpdjQ%2bQn9PXfB0%2b%2fDoXosDN3babUfUtOY%2f8OGoiVFV4S3jHM8W%2bVzbxATaQJErUR0botQ71fqE%2fubnU%2fcEnWeecTRf7kG0%2fBqjMi85VUwuFFsgBNwZM3gamGk2KyJqBmHlaZdBjgtBCVemKUo4Q8gLXTvgcvQocOInhXUgGGP9xo%2fbhrYZL%2bqDz8Nhhsisco9ou%2fMM4bBgPDJSLIVeuE7aUsFhtqlXP76ygs1OVaK1gp%2boS0VIRt1iX64d2","descargar bases")</f>
      </c>
    </row>
    <row r="76">
      <c r="A76" s="0" t="inlineStr">
        <is>
          <t xml:space="preserve">2048-78-LE26</t>
        </is>
      </c>
      <c r="B76" s="4" t="inlineStr">
        <is>
          <t xml:space="preserve">COMPRA SERVICIOS PROFESIONALES PARA U.INFORMÁTICA</t>
        </is>
      </c>
      <c r="C76" s="0" t="inlineStr">
        <is>
          <t xml:space="preserve">Publicada</t>
        </is>
      </c>
      <c r="D76" s="0" t="inlineStr">
        <is>
          <t xml:space="preserve">SERVICIO DE SALUD CHILOE</t>
        </is>
      </c>
      <c r="E76" s="0" t="inlineStr">
        <is>
          <t xml:space="preserve">Hospital de Ancud</t>
        </is>
      </c>
      <c r="F76" s="0" t="inlineStr">
        <is>
          <t xml:space="preserve">Región de los Lagos </t>
        </is>
      </c>
      <c r="G76" s="0"/>
      <c r="H76" s="2">
        <v>46310.37581</v>
      </c>
      <c r="I76" s="2">
        <v>46321.708333</v>
      </c>
      <c r="J76" s="0">
        <v>11</v>
      </c>
      <c r="K76" s="3"/>
      <c r="L76" s="0" t="inlineStr">
        <is>
          <t xml:space="preserve">CLP</t>
        </is>
      </c>
      <c r="M76" s="0" t="inlineStr">
        <is>
          <t xml:space="preserve">LE</t>
        </is>
      </c>
      <c r="N76" s="4" t="inlineStr">
        <is>
          <t xml:space="preserve">Servicios profesionales, administrativos y consultorías de gestión empresarial / Servicios de recursos humanos / Contratación de personal</t>
        </is>
      </c>
      <c r="O76" s="4" t="inlineStr">
        <is>
          <t xml:space="preserve">1 Hora/Hombre · Profesionales</t>
        </is>
      </c>
      <c r="P76" s="2"/>
      <c r="Q76" s="2"/>
      <c r="R76" s="0" t="inlineStr">
        <is>
          <t xml:space="preserve">12 meses</t>
        </is>
      </c>
      <c r="S76" s="0" t="inlineStr">
        <is>
          <t xml:space="preserve">No</t>
        </is>
      </c>
      <c r="T76" s="4" t="inlineStr">
        <is>
          <t xml:space="preserve">El adjudicatario no podrá ceder ni transferir en forma alguna, total ni parcialmente los derechos y obligaciones que nacen del desarrollo de la licitación. No se permite subcontratación.</t>
        </is>
      </c>
      <c r="U76" s="0" t="inlineStr">
        <is>
          <t xml:space="preserve">deisy cardenas</t>
        </is>
      </c>
      <c r="V76"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76" s="5" t="str">
        <f>HYPERLINK("https://www.mercadopublico.cl/Procurement/Modules/Attachment/ViewAttachment.aspx?enc=1x5TZFhZyBuH59hxwUlFem9wevBmwih4yzZ2day6GotBAb5xrp8VR51zc5Y7Oh%2bk9xdokWA5MC4ssp4e79Wi5XQM0RWh3wVrYErSKhL6wcYLrPjE7v17aBd7ZFk13DVmfugm5givtsWoh5aUrH8IpDRHwDT8T6SWlzxZoAaka47%2bOHdBBYfMInzDmzeGS7NUdesTCMcI7%2buogQsF15bCqXzz8pMIxKEykJHCnFehkw1H%2f8JWjvmZ6vT%2bdmi1f%2fOpxwe9P32RBFL%2buPoNBgoP6CnBsnfF5%2blUvLFzJaYStrO2vjgI44TvXRWKcXEsF4Yf","descargar bases")</f>
      </c>
    </row>
    <row r="77">
      <c r="A77" s="0" t="inlineStr">
        <is>
          <t xml:space="preserve">4375-142-LE26</t>
        </is>
      </c>
      <c r="B77" s="4" t="inlineStr">
        <is>
          <t xml:space="preserve">ARRIENDO SOFTWARE Y EQUIPOS PARA SISTEMA GESTOR DE FILAS</t>
        </is>
      </c>
      <c r="C77" s="0" t="inlineStr">
        <is>
          <t xml:space="preserve">Publicada</t>
        </is>
      </c>
      <c r="D77" s="0" t="inlineStr">
        <is>
          <t xml:space="preserve">HOSPITAL GUILLERMO GRANT BENAVENTE DE CO</t>
        </is>
      </c>
      <c r="E77" s="0" t="inlineStr">
        <is>
          <t xml:space="preserve">Abastecimiento General</t>
        </is>
      </c>
      <c r="F77" s="0" t="inlineStr">
        <is>
          <t xml:space="preserve">Región del Biobío </t>
        </is>
      </c>
      <c r="G77" s="0" t="inlineStr">
        <is>
          <t xml:space="preserve">Santiago</t>
        </is>
      </c>
      <c r="H77" s="2">
        <v>46310.46787</v>
      </c>
      <c r="I77" s="2">
        <v>46321.708333</v>
      </c>
      <c r="J77" s="0">
        <v>11</v>
      </c>
      <c r="K77" s="3"/>
      <c r="L77" s="0" t="inlineStr">
        <is>
          <t xml:space="preserve">CLP</t>
        </is>
      </c>
      <c r="M77" s="0" t="inlineStr">
        <is>
          <t xml:space="preserve">LE</t>
        </is>
      </c>
      <c r="N77" s="4" t="inlineStr">
        <is>
          <t xml:space="preserve">Equipos y suministros de defensa, orden público, protección y seguridad / Equipos para orden público / Equipo para control de disturbios</t>
        </is>
      </c>
      <c r="O77" s="4" t="inlineStr">
        <is>
          <t xml:space="preserve">24 Mes · Sistemas de control de formación de filas</t>
        </is>
      </c>
      <c r="P77" s="2"/>
      <c r="Q77" s="2"/>
      <c r="R77" s="0" t="inlineStr">
        <is>
          <t xml:space="preserve">24 meses</t>
        </is>
      </c>
      <c r="S77" s="0" t="inlineStr">
        <is>
          <t xml:space="preserve">No</t>
        </is>
      </c>
      <c r="T77" s="4" t="inlineStr">
        <is>
          <t xml:space="preserve">Se Prohíbe la  subcontratación</t>
        </is>
      </c>
      <c r="U77" s="0" t="inlineStr">
        <is>
          <t xml:space="preserve">Lisette Garcés Carrasco</t>
        </is>
      </c>
      <c r="V77" s="4" t="inlineStr">
        <is>
          <t xml:space="preserve">ARRIENDO SOFTWARE Y EQUIPOS PARA SISTEMA GESTOR DE FILAS</t>
        </is>
      </c>
      <c r="W77" s="5" t="str">
        <f>HYPERLINK("https://www.mercadopublico.cl/Procurement/Modules/Attachment/ViewAttachment.aspx?enc=cuZpmLOzxIQ8iVdLTswrQ5TAO%2fk5paLO6aQhkG74jQOPgx6vTwF85GkeWSSl0W6KxKukgjhX0Bz1dK1bK7NynUBLHfclv0GOYtKOc6yCzYCFoO5aJ45zGKk7Mm9ikJXVqnomLqjxSX4%2brwWIUJ%2bGXwZReu%2fMegUAx1sYSRg%2b8dWAtuOXjSyypuyeVMVM6BKQxog4JWgBeZjDwEhi5%2buFT3Y7efCPWdsFhPvYO8KGDuX69H4ZX2N04dnCGo%2fbVstuFGQ17R4k%2fBIFdrXdqktPe4%2b63vsnyPw8oSOrJ07mjSRuSvzV9GOWnITvnoFDA2BP","descargar bases")</f>
      </c>
    </row>
    <row r="78">
      <c r="A78" s="0" t="inlineStr">
        <is>
          <t xml:space="preserve">538598-41-LE26</t>
        </is>
      </c>
      <c r="B78" s="4" t="inlineStr">
        <is>
          <t xml:space="preserve">Servicio LME - arriendo de lectores huella digital</t>
        </is>
      </c>
      <c r="C78" s="0" t="inlineStr">
        <is>
          <t xml:space="preserve">Publicada</t>
        </is>
      </c>
      <c r="D78" s="0" t="inlineStr">
        <is>
          <t xml:space="preserve">HOSPITAL METROPOLITANO DE SANTIAGO</t>
        </is>
      </c>
      <c r="E78" s="0" t="inlineStr">
        <is>
          <t xml:space="preserve">ABASTECIMIENTO</t>
        </is>
      </c>
      <c r="F78" s="0" t="inlineStr">
        <is>
          <t xml:space="preserve">Región Metropolitana de Santiago</t>
        </is>
      </c>
      <c r="G78" s="0" t="inlineStr">
        <is>
          <t xml:space="preserve">Providencia</t>
        </is>
      </c>
      <c r="H78" s="2">
        <v>46310.430903</v>
      </c>
      <c r="I78" s="2">
        <v>46321.708333</v>
      </c>
      <c r="J78" s="0">
        <v>11</v>
      </c>
      <c r="K78" s="3"/>
      <c r="L78" s="0" t="inlineStr">
        <is>
          <t xml:space="preserve">CLP</t>
        </is>
      </c>
      <c r="M78" s="0" t="inlineStr">
        <is>
          <t xml:space="preserve">LE</t>
        </is>
      </c>
      <c r="N78"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78" s="4" t="inlineStr">
        <is>
          <t xml:space="preserve">1 Unidad · Software de sistema experto · 1 Unidad · Software del sistema de administración de bases de datos · 28 Unidad · Circuitos integrados digitales</t>
        </is>
      </c>
      <c r="P78" s="2"/>
      <c r="Q78" s="2"/>
      <c r="R78" s="0" t="inlineStr">
        <is>
          <t xml:space="preserve">36 meses</t>
        </is>
      </c>
      <c r="S78" s="0" t="inlineStr">
        <is>
          <t xml:space="preserve">No</t>
        </is>
      </c>
      <c r="T78" s="4"/>
      <c r="U78" s="0" t="inlineStr">
        <is>
          <t xml:space="preserve">Nicole Cañete Moya</t>
        </is>
      </c>
      <c r="V78"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78" s="5" t="str">
        <f>HYPERLINK("https://www.mercadopublico.cl/Procurement/Modules/Attachment/ViewAttachment.aspx?enc=vlhY89cuNBM1pjDsunQsCwTdgSLHh6XQTc2J9koQRNbIujilWkoYvk6MJIRLwF6kVv3baZ6x0WbPJZCPlnWXqYEpV30cNkI5t5mutnuU3nlmTICTP25Y0gYgkRqyTDERkRH0Z%2badlmglSTyUhQgjNkl6PfYDhFc3NTefth6HGIEoPPX%2fUZURw%2bOQqIXzrZjZZssRcXUqXS%2fgzExrvX1s87eoGoXmwFSK0oVnciUQGtknoxDxOhC7tka6678jEUyBQpoW%2f5ocVBpCVsQwD7Y%2bVhWNnAj4idp5I8KM413JgUO%2bh5YcC92JL8oMs9ZQBTaB","descargar bases")</f>
      </c>
    </row>
    <row r="79">
      <c r="A79" s="0" t="inlineStr">
        <is>
          <t xml:space="preserve">434-110-LP26</t>
        </is>
      </c>
      <c r="B79" s="4" t="inlineStr">
        <is>
          <t xml:space="preserve">SISTEMA DE GESTIÓN DOCUMENTAL SEGÚN LEY N°21.180</t>
        </is>
      </c>
      <c r="C79" s="0" t="inlineStr">
        <is>
          <t xml:space="preserve">Publicada</t>
        </is>
      </c>
      <c r="D79" s="0" t="inlineStr">
        <is>
          <t xml:space="preserve">I MUNICIPALIDAD DE CAUQUENES</t>
        </is>
      </c>
      <c r="E79" s="0" t="inlineStr">
        <is>
          <t xml:space="preserve">Adquisiciones</t>
        </is>
      </c>
      <c r="F79" s="0" t="inlineStr">
        <is>
          <t xml:space="preserve">Región del Maule </t>
        </is>
      </c>
      <c r="G79" s="0" t="inlineStr">
        <is>
          <t xml:space="preserve">Cauquenes</t>
        </is>
      </c>
      <c r="H79" s="2">
        <v>46302.681944</v>
      </c>
      <c r="I79" s="2">
        <v>46322.375</v>
      </c>
      <c r="J79" s="0">
        <v>12</v>
      </c>
      <c r="K79" s="3">
        <v>75000000.0</v>
      </c>
      <c r="L79" s="0" t="inlineStr">
        <is>
          <t xml:space="preserve">CLP</t>
        </is>
      </c>
      <c r="M79" s="0" t="inlineStr">
        <is>
          <t xml:space="preserve">LP</t>
        </is>
      </c>
      <c r="N79" s="4" t="inlineStr">
        <is>
          <t xml:space="preserve">Artículos para estructuras, obras y construcciones / Construcciones permanentes / Construcciones para educación e investigación</t>
        </is>
      </c>
      <c r="O79" s="4" t="inlineStr">
        <is>
          <t xml:space="preserve">1 Unidad · Servicios de investigación o medición · 1 Unidad · Servicios de investigación o medición</t>
        </is>
      </c>
      <c r="P79" s="2"/>
      <c r="Q79" s="2"/>
      <c r="R79" s="0" t="inlineStr">
        <is>
          <t xml:space="preserve">36 meses</t>
        </is>
      </c>
      <c r="S79" s="0" t="inlineStr">
        <is>
          <t xml:space="preserve">No</t>
        </is>
      </c>
      <c r="T79" s="4"/>
      <c r="U79" s="0" t="inlineStr">
        <is>
          <t xml:space="preserve">CHRISTIAN AGUILERA LETELIER</t>
        </is>
      </c>
      <c r="V79" s="4" t="inlineStr">
        <is>
          <t xml:space="preserve">TENER UN SISTEMA PARA ACOMPAÑAMIENTO EN LA IMPLEMENTACIÓN DE LA LEY DE TRANSFORMACIÓN DIGITAL DEL ESTADO.</t>
        </is>
      </c>
      <c r="W79" s="5" t="str">
        <f>HYPERLINK("https://www.mercadopublico.cl/Procurement/Modules/Attachment/ViewAttachment.aspx?enc=zpAtFXnH4T1xiW%2bbqiPZsTQo%2b%2fi061wPw%2bJuuyBZKsz8K%2burulh%2bfIyjabOF0fGH5ry08EapMKbkrWQiR6cs3bsvkMBMpcmp8kYpNlLic3dDVqtGo8GSUKZEc%2bX5hOBec6VAALChq8xhJf0Y0R1sc4mNigtp1YPBiQMTyD4L5xqTEnXQT0F845YhopiGHOGWWH1KLM10wq1t845CrNCu7qonAvfKO4MUmbP6R%2bGi3S1QVHtM1NmpM%2frOOaYK%2bmVW4km15WTOReINu6Uex2S6W5lCRMmcAGvk4IxQqqI8%2bkNUYCO%2bp4AA9EQN3dwDJ0uA","descargar bases")</f>
      </c>
    </row>
    <row r="80">
      <c r="A80" s="0" t="inlineStr">
        <is>
          <t xml:space="preserve">2308-90-LE26</t>
        </is>
      </c>
      <c r="B80" s="4" t="inlineStr">
        <is>
          <t xml:space="preserve">REPARACIÓN MODERNIZACIÓN PUESTA EN MARCHA Y CERTIFICACIÓN DEL ASCENSOR DEL EDIFICIO CONSISTORIAL OSORNO</t>
        </is>
      </c>
      <c r="C80" s="0" t="inlineStr">
        <is>
          <t xml:space="preserve">Publicada</t>
        </is>
      </c>
      <c r="D80" s="0" t="inlineStr">
        <is>
          <t xml:space="preserve">I MUNICIPALIDAD DE OSORNO</t>
        </is>
      </c>
      <c r="E80" s="0" t="inlineStr">
        <is>
          <t xml:space="preserve">SECRETARIA DE PLANIFICACION</t>
        </is>
      </c>
      <c r="F80" s="0" t="inlineStr">
        <is>
          <t xml:space="preserve">Región de los Lagos </t>
        </is>
      </c>
      <c r="G80" s="0" t="inlineStr">
        <is>
          <t xml:space="preserve">Osorno</t>
        </is>
      </c>
      <c r="H80" s="2">
        <v>46303.685648</v>
      </c>
      <c r="I80" s="2">
        <v>46322.416667</v>
      </c>
      <c r="J80" s="0">
        <v>12</v>
      </c>
      <c r="K80" s="3"/>
      <c r="L80" s="0" t="inlineStr">
        <is>
          <t xml:space="preserve">CLP</t>
        </is>
      </c>
      <c r="M80" s="0" t="inlineStr">
        <is>
          <t xml:space="preserve">LE</t>
        </is>
      </c>
      <c r="N80" s="4" t="inlineStr">
        <is>
          <t xml:space="preserve">Servicios de construcción y mantenimiento / Servicios de atención, mantenimiento y reparaciones de edificios / Servicios de apoyo para la construcción</t>
        </is>
      </c>
      <c r="O80" s="4" t="inlineStr">
        <is>
          <t xml:space="preserve">1 Unidad · Servicios de mantenimiento de ascensores</t>
        </is>
      </c>
      <c r="P80" s="2"/>
      <c r="Q80" s="2"/>
      <c r="R80" s="0"/>
      <c r="S80" s="0" t="inlineStr">
        <is>
          <t xml:space="preserve">No</t>
        </is>
      </c>
      <c r="T80" s="4"/>
      <c r="U80" s="0" t="inlineStr">
        <is>
          <t xml:space="preserve">I.MUNICIPALIDAD DE OSORNO</t>
        </is>
      </c>
      <c r="V80"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80" s="5" t="str">
        <f>HYPERLINK("https://www.mercadopublico.cl/Procurement/Modules/Attachment/ViewAttachment.aspx?enc=zPnfgd0dtMgnfJ0v93HVMTkoJp8otUs5yme2qxH10S%2f9S5SgrsNm3CfL%2fZIoBxgtg%2bAFqdKYdgOO1q2Xl%2fsTk283yu%2fDJK%2frjQsjkTQkOcclfyEtyj4Nft%2bBUWe2gBSoQzJCdppBe1wpx5tsQfwSGXzqr1H7cfSoz3S2ppGOyGwIOU5cn3BOd%2fFpDckCFZYXFt3AmD4m%2fzGW0y2%2f%2f8qA%2fOIKSzLclvF%2bOsEbwCPrpJUi3W9Hh4fyUzTVx9RbNbO9iJd21IgXKbI0NC%2fvZKtmco%2fa%2fnXd9AZzsmMSelNLZdxGvlu0FtC%2fhGbej3viEzZT","descargar bases")</f>
      </c>
    </row>
    <row r="81">
      <c r="A81" s="0" t="inlineStr">
        <is>
          <t xml:space="preserve">622-64-L126</t>
        </is>
      </c>
      <c r="B81" s="4" t="inlineStr">
        <is>
          <t xml:space="preserve">CONTRATACIÓN DEL CURSO INTELIGENCIA ARTIFICIAL APLICADA A LA GESTIÓN GREMIAL Y LA FUNCIÓN PÚBLICA</t>
        </is>
      </c>
      <c r="C81" s="0" t="inlineStr">
        <is>
          <t xml:space="preserve">Publicada</t>
        </is>
      </c>
      <c r="D81" s="0" t="inlineStr">
        <is>
          <t xml:space="preserve">TESORERIA GENERAL DE LA REPUBLICA</t>
        </is>
      </c>
      <c r="E81" s="0" t="inlineStr">
        <is>
          <t xml:space="preserve">Tesorería General de la República</t>
        </is>
      </c>
      <c r="F81" s="0" t="inlineStr">
        <is>
          <t xml:space="preserve">Región Metropolitana de Santiago</t>
        </is>
      </c>
      <c r="G81" s="0" t="inlineStr">
        <is>
          <t xml:space="preserve">Ñuñoa</t>
        </is>
      </c>
      <c r="H81" s="2">
        <v>46304.640752</v>
      </c>
      <c r="I81" s="2">
        <v>46322.625</v>
      </c>
      <c r="J81" s="0">
        <v>12</v>
      </c>
      <c r="K81" s="3">
        <v>5000000.0</v>
      </c>
      <c r="L81" s="0" t="inlineStr">
        <is>
          <t xml:space="preserve">CLP</t>
        </is>
      </c>
      <c r="M81" s="0" t="inlineStr">
        <is>
          <t xml:space="preserve">L1</t>
        </is>
      </c>
      <c r="N81" s="4" t="inlineStr">
        <is>
          <t xml:space="preserve">Educación, formación, entrenamiento y capacitación / Sistemas educativos complementarios / Educación de adultos</t>
        </is>
      </c>
      <c r="O81" s="4" t="inlineStr">
        <is>
          <t xml:space="preserve">1 Unidad · Capacitación a empleados</t>
        </is>
      </c>
      <c r="P81" s="2"/>
      <c r="Q81" s="2"/>
      <c r="R81" s="0"/>
      <c r="S81" s="0" t="inlineStr">
        <is>
          <t xml:space="preserve">No</t>
        </is>
      </c>
      <c r="T81" s="4"/>
      <c r="U81" s="0"/>
      <c r="V81"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81" s="5" t="str">
        <f>HYPERLINK("https://www.mercadopublico.cl/Procurement/Modules/Attachment/ViewAttachment.aspx?enc=NoETPtlX4fzxz07xRajTR%2fMWHPHCs%2f8vEzhDFT40e1CkDeLjlRdSqPvGEoCeYNnZpUgSQ%2fgVTdnaWOQxiNEDj%2fz3c2hG7Ogg%2fIH%2bjh0vtkfA4QTTYP5WHoU2%2fjN3VvppgpiuvKgDSyvILi2%2b40v%2f5WEk%2fxMMxCyGoGzao2JRhP6DUPFHT%2fd6mlfKbU6wMTVz1DVhoBmo%2bdfpeiUG3cc0jTiyJVhTPflmzppGNEnOVLnt57g8QxesO11aNG7UEtnxzcX%2bnTOvHEd%2bJBKd%2b37HxFF6q2CypFfqueG8%2bCEsKFcaULHzCom4wac%2f%2b%2fQ0C9r%2b","descargar bases")</f>
      </c>
    </row>
    <row r="82">
      <c r="A82" s="0" t="inlineStr">
        <is>
          <t xml:space="preserve">5360-5-LP26</t>
        </is>
      </c>
      <c r="B82" s="4" t="inlineStr">
        <is>
          <t xml:space="preserve">SERVICIOS DE ELECTRICIDAD Y DATOS UTA - ARICA</t>
        </is>
      </c>
      <c r="C82" s="0" t="inlineStr">
        <is>
          <t xml:space="preserve">Publicada</t>
        </is>
      </c>
      <c r="D82" s="0" t="inlineStr">
        <is>
          <t xml:space="preserve">UNIVERSIDAD DE TARAPACA</t>
        </is>
      </c>
      <c r="E82" s="0" t="inlineStr">
        <is>
          <t xml:space="preserve">DIRECCIÓN DE SERVICIOS Y  LOGÍSTICA</t>
        </is>
      </c>
      <c r="F82" s="0" t="inlineStr">
        <is>
          <t xml:space="preserve">Región de Arica y Parinacota</t>
        </is>
      </c>
      <c r="G82" s="0" t="inlineStr">
        <is>
          <t xml:space="preserve">Arica</t>
        </is>
      </c>
      <c r="H82" s="2">
        <v>46302.721933</v>
      </c>
      <c r="I82" s="2">
        <v>46322.666667</v>
      </c>
      <c r="J82" s="0">
        <v>12</v>
      </c>
      <c r="K82" s="3"/>
      <c r="L82" s="0" t="inlineStr">
        <is>
          <t xml:space="preserve">CLP</t>
        </is>
      </c>
      <c r="M82" s="0" t="inlineStr">
        <is>
          <t xml:space="preserve">LP</t>
        </is>
      </c>
      <c r="N82" s="4" t="inlineStr">
        <is>
          <t xml:space="preserve">Servicios de construcción y mantenimiento / Servicios de atención, mantenimiento y reparaciones de edificios / Servicios eléctricos</t>
        </is>
      </c>
      <c r="O82" s="4" t="inlineStr">
        <is>
          <t xml:space="preserve">1 Unidad · Instalación o servicio de sistemas de energía eléctrica</t>
        </is>
      </c>
      <c r="P82" s="2"/>
      <c r="Q82" s="2"/>
      <c r="R82" s="0" t="inlineStr">
        <is>
          <t xml:space="preserve">24 meses</t>
        </is>
      </c>
      <c r="S82" s="0" t="inlineStr">
        <is>
          <t xml:space="preserve">No</t>
        </is>
      </c>
      <c r="T82" s="4" t="inlineStr">
        <is>
          <t xml:space="preserve">No permite subcontratación. De acuerdo al Capítulo VIII Contrato de suministro
y servicio, párrafo 4 Cesión y subcontratación, Artículo 128 reglamento.
Subcontratación del reglamento de Ley Nº 19.886 sobre compras Públicas.</t>
        </is>
      </c>
      <c r="U82" s="0" t="inlineStr">
        <is>
          <t xml:space="preserve">Armando Villalobos</t>
        </is>
      </c>
      <c r="V82"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82" s="5" t="str">
        <f>HYPERLINK("https://www.mercadopublico.cl/Procurement/Modules/Attachment/ViewAttachment.aspx?enc=9M2PlTHeE1J9zuXnjKF2Zit0omla77Hff5NX9u%2fQE8GxtRcUkSalHWyg2kLetd%2bJjVYnZud62sEiO3bwh6lQPz6tD212heHYjKpKaK1uxvFzPrdpdYyoJrrSm%2bOeDJaYiXg%2b%2bZt1AfuF9KtdB%2bSqiieynytGlFD1QaGWA8%2fxL070ufya5kRGd5boLcsYWBizm2Wde8Fstyqj3zGUjgn9nGy3%2fgUMaF2oRLhAyhtkYh8BJ7Sft1MhLXaJGIKF4qDiluAug5Sb4NBTYqx%2fHaOZSz2h%2bD1i02ei0v9ICO9IbaTnGNiUewj83KERIq1yB21y","descargar bases")</f>
      </c>
    </row>
    <row r="83">
      <c r="A83" s="0" t="inlineStr">
        <is>
          <t xml:space="preserve">2981-287-LP26</t>
        </is>
      </c>
      <c r="B83" s="4" t="inlineStr">
        <is>
          <t xml:space="preserve">CIBERSEGURIDAD- CONSULTORIA</t>
        </is>
      </c>
      <c r="C83" s="0" t="inlineStr">
        <is>
          <t xml:space="preserve">Publicada</t>
        </is>
      </c>
      <c r="D83" s="0" t="inlineStr">
        <is>
          <t xml:space="preserve">POLICIA DE INVESTIGACIONES DE CHILE</t>
        </is>
      </c>
      <c r="E83" s="0" t="inlineStr">
        <is>
          <t xml:space="preserve">DEPARTAMENTO ADMINISTRATIVO</t>
        </is>
      </c>
      <c r="F83" s="0" t="inlineStr">
        <is>
          <t xml:space="preserve">Región Metropolitana de Santiago</t>
        </is>
      </c>
      <c r="G83" s="0" t="inlineStr">
        <is>
          <t xml:space="preserve">Santiago Centro</t>
        </is>
      </c>
      <c r="H83" s="2">
        <v>46303.658333</v>
      </c>
      <c r="I83" s="2">
        <v>46323.625</v>
      </c>
      <c r="J83" s="0">
        <v>13</v>
      </c>
      <c r="K83" s="3">
        <v>80000000.0</v>
      </c>
      <c r="L83" s="0" t="inlineStr">
        <is>
          <t xml:space="preserve">CLP</t>
        </is>
      </c>
      <c r="M83" s="0" t="inlineStr">
        <is>
          <t xml:space="preserve">LP</t>
        </is>
      </c>
      <c r="N83" s="4" t="inlineStr">
        <is>
          <t xml:space="preserve">Servicios profesionales, administrativos y consultorías de gestión empresarial / Consultorías o asesorías en gestión empresarial / Servicios de consultoría en gestión de empresas</t>
        </is>
      </c>
      <c r="O83" s="4" t="inlineStr">
        <is>
          <t xml:space="preserve">1 Unidad · Asesorías en gestión estratégica</t>
        </is>
      </c>
      <c r="P83" s="2"/>
      <c r="Q83" s="2"/>
      <c r="R83" s="0" t="inlineStr">
        <is>
          <t xml:space="preserve">12 meses</t>
        </is>
      </c>
      <c r="S83" s="0" t="inlineStr">
        <is>
          <t xml:space="preserve">No</t>
        </is>
      </c>
      <c r="T83" s="4" t="inlineStr">
        <is>
          <t xml:space="preserve">No permite subcontratacion, Art 53 de las bases</t>
        </is>
      </c>
      <c r="U83" s="0" t="inlineStr">
        <is>
          <t xml:space="preserve">CRISTOPHER SILVA GUZMAN</t>
        </is>
      </c>
      <c r="V83" s="4" t="inlineStr">
        <is>
          <t xml:space="preserve">SE REQUIERE CONTRATAR LOS SERVICIOS DE CONSULTORIA SEGUN BASES ADMINISTRATIVAS, TECNICAS Y ANEXOS ADJUNTOS.</t>
        </is>
      </c>
      <c r="W83" s="5" t="str">
        <f>HYPERLINK("https://www.mercadopublico.cl/Procurement/Modules/Attachment/ViewAttachment.aspx?enc=fXkScA4CaENK8LdO1Hv1Q9WuLLxChygNMvfEtJwanj5QB8hrlNxnvuy%2bXYIjJCC1n9jM7QBBkzNW1TaV0iN%2bmjqGSQ5ZCkdRM4PeiMK06UWuIawyg9xIU64W3ELcW%2fXaIkUDUdlKmkrgLbx%2fOCVRvKmtN%2fei8ofHyB0ulnmDN9VBbgaoFg%2fb%2fTA8pNLDJf%2f3FCO2ZHJftoLgxvl4kFwcGKsAgjbwDg1o6usVu89krdm13Sdv3%2bCU132E1G6J63cq2hcpkoz7FgZeunIAPcrQ4Mef2aRC59wH%2bYRsRJ8YdAgg3TofNrLc1VauXWw7erY3","descargar bases")</f>
      </c>
    </row>
    <row r="84">
      <c r="A84" s="0" t="inlineStr">
        <is>
          <t xml:space="preserve">622-66-LE26</t>
        </is>
      </c>
      <c r="B84" s="4" t="inlineStr">
        <is>
          <t xml:space="preserve">ADQUISICIÓN DE LICENCIAS PARA SOFTWARE DLP</t>
        </is>
      </c>
      <c r="C84" s="0" t="inlineStr">
        <is>
          <t xml:space="preserve">Publicada</t>
        </is>
      </c>
      <c r="D84" s="0" t="inlineStr">
        <is>
          <t xml:space="preserve">TESORERIA GENERAL DE LA REPUBLICA</t>
        </is>
      </c>
      <c r="E84" s="0" t="inlineStr">
        <is>
          <t xml:space="preserve">Tesorería General de la República</t>
        </is>
      </c>
      <c r="F84" s="0" t="inlineStr">
        <is>
          <t xml:space="preserve">Región Metropolitana de Santiago</t>
        </is>
      </c>
      <c r="G84" s="0" t="inlineStr">
        <is>
          <t xml:space="preserve">Santiago</t>
        </is>
      </c>
      <c r="H84" s="2">
        <v>46303.43956</v>
      </c>
      <c r="I84" s="2">
        <v>46323.625</v>
      </c>
      <c r="J84" s="0">
        <v>13</v>
      </c>
      <c r="K84" s="3">
        <v>69700000.0</v>
      </c>
      <c r="L84" s="0" t="inlineStr">
        <is>
          <t xml:space="preserve">CLP</t>
        </is>
      </c>
      <c r="M84" s="0" t="inlineStr">
        <is>
          <t xml:space="preserve">LE</t>
        </is>
      </c>
      <c r="N84" s="4" t="inlineStr">
        <is>
          <t xml:space="preserve">Tecnologías de la información, telecomunicaciones y radiodifusión / Software / Software de gestión</t>
        </is>
      </c>
      <c r="O84" s="4" t="inlineStr">
        <is>
          <t xml:space="preserve">1 Unidad · Software de gestión de licencias</t>
        </is>
      </c>
      <c r="P84" s="2"/>
      <c r="Q84" s="2"/>
      <c r="R84" s="0" t="inlineStr">
        <is>
          <t xml:space="preserve">24 meses</t>
        </is>
      </c>
      <c r="S84" s="0" t="inlineStr">
        <is>
          <t xml:space="preserve">No</t>
        </is>
      </c>
      <c r="T84"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84" s="0" t="inlineStr">
        <is>
          <t xml:space="preserve">Será indicado en el contrato a suscribir.</t>
        </is>
      </c>
      <c r="V84"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84" s="5" t="str">
        <f>HYPERLINK("https://www.mercadopublico.cl/Procurement/Modules/Attachment/ViewAttachment.aspx?enc=XhDJ9C7TaGpfSWdzq9FHQiwN4nR%2f23sKCRld9y3xMP50gONph0IY1SnHN8YhGYbJ0qhDEBbLzdaEXIqwsaU3%2fo8QJy%2bCBX3aLf56YZ14hDRTediW0kkPk%2bOWAFmANiibMFB6q9HNpgXsuV7TGTEGQbGVkZtUexZUOm6Nlv8ehdK2Mrg7ndMCbeB4NJ5WG8hiFWVSwv4kfESMb4vBfo9QAIjeIKxjrw3rqHSonvWFFUdpyAgvvEgto7TqoG9lTDF7R%2b%2bMvYhmwHmeT6EBFKvGuksxvxdvhJXNRbdqwtWXErbs536ig6Zxis1WAKV1Trg%2b","descargar bases")</f>
      </c>
    </row>
    <row r="85">
      <c r="A85" s="0" t="inlineStr">
        <is>
          <t xml:space="preserve">1057049-376-LP26</t>
        </is>
      </c>
      <c r="B85" s="4" t="inlineStr">
        <is>
          <t xml:space="preserve">PROV E INSTALACIÓN DE PLATAFORMAS DE SEGURIDAD PARA SHAFTS DEL HOSPITAL CLÍNICO SAN BORJA ARRIARÁN</t>
        </is>
      </c>
      <c r="C85" s="0" t="inlineStr">
        <is>
          <t xml:space="preserve">Publicada</t>
        </is>
      </c>
      <c r="D85" s="0" t="inlineStr">
        <is>
          <t xml:space="preserve">SERV SALUD METROPOLITANO CENTRAL HOSPITAL CLINICO SAN BORJA ARRIARAN</t>
        </is>
      </c>
      <c r="E85" s="0" t="inlineStr">
        <is>
          <t xml:space="preserve">Bienes y Servicios</t>
        </is>
      </c>
      <c r="F85" s="0" t="inlineStr">
        <is>
          <t xml:space="preserve">Región Metropolitana de Santiago</t>
        </is>
      </c>
      <c r="G85" s="0" t="inlineStr">
        <is>
          <t xml:space="preserve">Santiago</t>
        </is>
      </c>
      <c r="H85" s="2">
        <v>46303.592002</v>
      </c>
      <c r="I85" s="2">
        <v>46323.645833</v>
      </c>
      <c r="J85" s="0">
        <v>13</v>
      </c>
      <c r="K85" s="3"/>
      <c r="L85" s="0" t="inlineStr">
        <is>
          <t xml:space="preserve">CLP</t>
        </is>
      </c>
      <c r="M85" s="0" t="inlineStr">
        <is>
          <t xml:space="preserve">LP</t>
        </is>
      </c>
      <c r="N85" s="4" t="inlineStr">
        <is>
          <t xml:space="preserve">Maquinaria para construcción y edificación / Maquinaria pesada de construcción / Elevadores</t>
        </is>
      </c>
      <c r="O85" s="4" t="inlineStr">
        <is>
          <t xml:space="preserve">1 Global · Plataforma elevadora</t>
        </is>
      </c>
      <c r="P85" s="2"/>
      <c r="Q85" s="2"/>
      <c r="R85" s="0"/>
      <c r="S85" s="0" t="inlineStr">
        <is>
          <t xml:space="preserve">No</t>
        </is>
      </c>
      <c r="T85" s="4"/>
      <c r="U85" s="0" t="inlineStr">
        <is>
          <t xml:space="preserve">Andres Muñoz</t>
        </is>
      </c>
      <c r="V85"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85" s="5" t="str">
        <f>HYPERLINK("https://www.mercadopublico.cl/Procurement/Modules/Attachment/ViewAttachment.aspx?enc=GbGcXjfWuk%2frApYRpu2OqaObvlBwqRIc6vBdR3I%2fFH8rXcDscEVB%2bUX3h2NlJz7VbSfK0pr55izUV4RsGxOdmMxZXlgQaU%2f0fdoYjBZKIzVXcxumxGVKCFaTgGzJJQoBsHTyLcvfjnxKFdPfR6%2fAfFKdWUkCkIzHWx849TRPDiRvkUjcE2LmyAL6edOHBbQonLtnNVUXMBdpBvA2%2fpJRRnLo9Ny7Wwk%2bOvFSyKL5Gf4ij75r%2fD7vP9BadbXgO3uQdqXbvY5Zdo%2fghZJw6hnk1hgOaJUaOlJalMhB%2bUmZ1aGhxXAKmFnZUblT0kxhdbuE","descargar bases")</f>
      </c>
    </row>
    <row r="86">
      <c r="A86" s="0" t="inlineStr">
        <is>
          <t xml:space="preserve">1005498-24-LP26</t>
        </is>
      </c>
      <c r="B86" s="4" t="inlineStr">
        <is>
          <t xml:space="preserve">SUSCRIPCIÓN DE LICENCIAS EN MODALIDAD CLOUD</t>
        </is>
      </c>
      <c r="C86" s="0" t="inlineStr">
        <is>
          <t xml:space="preserve">Publicada</t>
        </is>
      </c>
      <c r="D86" s="0" t="inlineStr">
        <is>
          <t xml:space="preserve">COMISION PARA EL MERCADO FINANCIERO</t>
        </is>
      </c>
      <c r="E86" s="0" t="inlineStr">
        <is>
          <t xml:space="preserve">COMISION PARA EL MERCADO FINANCIERO</t>
        </is>
      </c>
      <c r="F86" s="0" t="inlineStr">
        <is>
          <t xml:space="preserve">Región Metropolitana de Santiago</t>
        </is>
      </c>
      <c r="G86" s="0" t="inlineStr">
        <is>
          <t xml:space="preserve">Santiago Centro</t>
        </is>
      </c>
      <c r="H86" s="2">
        <v>46303.688009</v>
      </c>
      <c r="I86" s="2">
        <v>46323.666667</v>
      </c>
      <c r="J86" s="0">
        <v>13</v>
      </c>
      <c r="K86" s="3">
        <v>196000.0</v>
      </c>
      <c r="L86" s="0" t="inlineStr">
        <is>
          <t xml:space="preserve">USD</t>
        </is>
      </c>
      <c r="M86" s="0" t="inlineStr">
        <is>
          <t xml:space="preserve">LP</t>
        </is>
      </c>
      <c r="N86" s="4" t="inlineStr">
        <is>
          <t xml:space="preserve">Servicios basados en ingeniería, ciencias sociales y tecnología de la información / Servicios informáticos / Mantenimiento y soporte de software</t>
        </is>
      </c>
      <c r="O86" s="4" t="inlineStr">
        <is>
          <t xml:space="preserve">1 Global · Up grade de software</t>
        </is>
      </c>
      <c r="P86" s="2"/>
      <c r="Q86" s="2"/>
      <c r="R86" s="0" t="inlineStr">
        <is>
          <t xml:space="preserve">36 meses</t>
        </is>
      </c>
      <c r="S86" s="0" t="inlineStr">
        <is>
          <t xml:space="preserve">No</t>
        </is>
      </c>
      <c r="T86" s="4" t="inlineStr">
        <is>
          <t xml:space="preserve">No se permite según Art.13.2.2 de Bases de licitación</t>
        </is>
      </c>
      <c r="U86" s="0" t="inlineStr">
        <is>
          <t xml:space="preserve">CHRISTIAN METCALFE</t>
        </is>
      </c>
      <c r="V86"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86" s="5" t="str">
        <f>HYPERLINK("https://www.mercadopublico.cl/Procurement/Modules/Attachment/ViewAttachment.aspx?enc=rJcnbYKdURC3FyuvUjiJoFPQMfLiL2AOZndazf0R%2fJzFzM6753kBPAKXnwLV%2fLP3FFeJOW1GuUYVzI6UQ%2bIjjSVzUXqKXMx380VvXX%2fR7GardKg7zlZmG6gdvUQvXXqUCQcyBuwA%2bxL4nEPXZVAVomXKeNV30WPOOavFvJcipGJckC4e33UsNoCAdT71GlW9oPxXGZKvn41EDqJK%2bAqar4tffTHAWaU5bX9ZZxxZAymWlxiVjPzRdOfWnYC%2bFvOSfQq%2bPO6avRil1byd9SSVrjk5eUxr0SHwwcg2V9htYZVzZOkcT4%2fNl7ZetHDtIurT","descargar bases")</f>
      </c>
    </row>
    <row r="87">
      <c r="A87" s="0" t="inlineStr">
        <is>
          <t xml:space="preserve">5512-18-LE26</t>
        </is>
      </c>
      <c r="B87" s="4" t="inlineStr">
        <is>
          <t xml:space="preserve">ADQUISICIÓN DE MINICOMPUTADORES PARA IA PROYECTO UTA 22991</t>
        </is>
      </c>
      <c r="C87" s="0" t="inlineStr">
        <is>
          <t xml:space="preserve">Publicada</t>
        </is>
      </c>
      <c r="D87" s="0" t="inlineStr">
        <is>
          <t xml:space="preserve">UNIVERSIDAD DE TARAPACA</t>
        </is>
      </c>
      <c r="E87" s="0" t="inlineStr">
        <is>
          <t xml:space="preserve">Convenio de Desempeño</t>
        </is>
      </c>
      <c r="F87" s="0" t="inlineStr">
        <is>
          <t xml:space="preserve">Región de Arica y Parinacota</t>
        </is>
      </c>
      <c r="G87" s="0" t="inlineStr">
        <is>
          <t xml:space="preserve">Iquique</t>
        </is>
      </c>
      <c r="H87" s="2">
        <v>46304.456655</v>
      </c>
      <c r="I87" s="2">
        <v>46323.666667</v>
      </c>
      <c r="J87" s="0">
        <v>13</v>
      </c>
      <c r="K87" s="3">
        <v>30000000.0</v>
      </c>
      <c r="L87" s="0" t="inlineStr">
        <is>
          <t xml:space="preserve">CLP</t>
        </is>
      </c>
      <c r="M87" s="0" t="inlineStr">
        <is>
          <t xml:space="preserve">LE</t>
        </is>
      </c>
      <c r="N87" s="4" t="inlineStr">
        <is>
          <t xml:space="preserve">Tecnologías de la información, telecomunicaciones y radiodifusión / Equipos informáticos y accesorios / Computadores</t>
        </is>
      </c>
      <c r="O87" s="4" t="inlineStr">
        <is>
          <t xml:space="preserve">3 Unidad · Computadores de escritorio</t>
        </is>
      </c>
      <c r="P87" s="2"/>
      <c r="Q87" s="2"/>
      <c r="R87" s="0"/>
      <c r="S87" s="0" t="inlineStr">
        <is>
          <t xml:space="preserve">No</t>
        </is>
      </c>
      <c r="T87" s="4" t="inlineStr">
        <is>
          <t xml:space="preserve">No permite subcontratación De acuerdo al Capítulo IX Contrato de suministro y servicio, párrafo 4 Cesión y subcontratación, Artículo 128. Subcontratación del reglamento de Ley Nº 19.886 sobre compras Públicas.</t>
        </is>
      </c>
      <c r="U87" s="0" t="inlineStr">
        <is>
          <t xml:space="preserve">Jefe de Proyecto, UTA 22991</t>
        </is>
      </c>
      <c r="V87"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87" s="5" t="str">
        <f>HYPERLINK("https://www.mercadopublico.cl/Procurement/Modules/Attachment/ViewAttachment.aspx?enc=oVQF4Wod9VagdsGIsTywBOACZ09hAMAsD56%2fD2V%2f85Fl5g5FI%2b%2fFzx8xG4EhSfrkJWZNfQ5aqK2zo7WyygfcVBeq%2b%2b2vlLNZjG8vLA33sTEsgJm1%2bCc8ub%2fKyPDatVseqA7N9NrIcfnu2UpUKqJhW%2bj%2br2xMHOsxvF8ynfkf8Ei%2bpV8po2OoEQysj7DQfR26Dw%2fRNeE%2f9lynsyJ3pqExLeD4wqinmoUAf1YCn8TxVVllorToxwxa8Y30NPIw2PIIaqYoulAwSnyxFNMsKXApLIu3q10nBWUVUTN4IKNjyJ0kO83Ad3%2bGNec4BpMPPscD","descargar bases")</f>
      </c>
    </row>
    <row r="88">
      <c r="A88" s="0" t="inlineStr">
        <is>
          <t xml:space="preserve">1020-55-LE26</t>
        </is>
      </c>
      <c r="B88" s="4" t="inlineStr">
        <is>
          <t xml:space="preserve">Adq. Sopor. y Actual. Software ServiceTonic MOP.</t>
        </is>
      </c>
      <c r="C88" s="0" t="inlineStr">
        <is>
          <t xml:space="preserve">Publicada</t>
        </is>
      </c>
      <c r="D88" s="0" t="inlineStr">
        <is>
          <t xml:space="preserve">MINISTERIO DE OBRAS PUBLICAS DIREC CION GRAL DE OO PP DCYF</t>
        </is>
      </c>
      <c r="E88" s="0" t="inlineStr">
        <is>
          <t xml:space="preserve">MOP Subsecretaría </t>
        </is>
      </c>
      <c r="F88" s="0" t="inlineStr">
        <is>
          <t xml:space="preserve">Región Metropolitana de Santiago</t>
        </is>
      </c>
      <c r="G88" s="0"/>
      <c r="H88" s="2">
        <v>46308.512766</v>
      </c>
      <c r="I88" s="2">
        <v>46324.625</v>
      </c>
      <c r="J88" s="0">
        <v>14</v>
      </c>
      <c r="K88" s="3">
        <v>22500000.0</v>
      </c>
      <c r="L88" s="0" t="inlineStr">
        <is>
          <t xml:space="preserve">CLP</t>
        </is>
      </c>
      <c r="M88" s="0" t="inlineStr">
        <is>
          <t xml:space="preserve">LE</t>
        </is>
      </c>
      <c r="N88" s="4" t="inlineStr">
        <is>
          <t xml:space="preserve">Tecnologías de la información, telecomunicaciones y radiodifusión / Software / Software de gestión</t>
        </is>
      </c>
      <c r="O88" s="4" t="inlineStr">
        <is>
          <t xml:space="preserve">50 Unidad · Software de gestión de licencias</t>
        </is>
      </c>
      <c r="P88" s="2"/>
      <c r="Q88" s="2"/>
      <c r="R88" s="0"/>
      <c r="S88" s="0" t="inlineStr">
        <is>
          <t xml:space="preserve">No</t>
        </is>
      </c>
      <c r="T88" s="4" t="inlineStr">
        <is>
          <t xml:space="preserve">El oferente adjudicado no podrá subcontratar los servicios derivados de la ejecución del contrato. VER NUMERAL 10.6 de las BA.</t>
        </is>
      </c>
      <c r="U88" s="0" t="inlineStr">
        <is>
          <t xml:space="preserve">Francisco Bórquez B.</t>
        </is>
      </c>
      <c r="V88" s="4" t="inlineStr">
        <is>
          <t xml:space="preserve">Que, el objetivo es la Adquisición de Soporte y Actualizaciones Software ServiceTonic Licencias en modalidad On-Premise, usuarios nombrados, por 12 meses.</t>
        </is>
      </c>
      <c r="W88" s="5" t="str">
        <f>HYPERLINK("https://www.mercadopublico.cl/Procurement/Modules/Attachment/ViewAttachment.aspx?enc=vKTxzM3VSoyEf7RQHoLUH%2bbhz2xiMUGshh12Yb69kQFzKzqTFUw82DPJOnklomNB%2bur14hRlmQrck31Z1%2fofOByb99k1P6EwUzhsbwNd3GyN4hHZblw1vhNcVDrAvWnc9QRP7HPVH5b7DqgcNmLjq%2b5iImqyCOdupNhMirJcIydPOXlGeBIHMJ%2fuos9dhWP0D2iuyJxhKfedbk%2b9nSviQnaCU2ArQQnNMBVLReSqMYTzWHDukcVHlWqzWSzLaETolNzrAb8c8l01qz4t4jyOVsXER%2fo7lFfTEzVfnd9Tsrpwu9UFnM8osVejYpxasc2%2f","descargar bases")</f>
      </c>
    </row>
    <row r="89">
      <c r="A89" s="0" t="inlineStr">
        <is>
          <t xml:space="preserve">1067778-4-LP26</t>
        </is>
      </c>
      <c r="B89" s="4" t="inlineStr">
        <is>
          <t xml:space="preserve">ARRIENDO CON OPCION DE COMPRA  DE SERVIDOR PARA IA</t>
        </is>
      </c>
      <c r="C89" s="0" t="inlineStr">
        <is>
          <t xml:space="preserve">Publicada</t>
        </is>
      </c>
      <c r="D89" s="0" t="inlineStr">
        <is>
          <t xml:space="preserve">FISCALIA NACIONAL ECONOMICA</t>
        </is>
      </c>
      <c r="E89" s="0" t="inlineStr">
        <is>
          <t xml:space="preserve">Tecnologías de Información</t>
        </is>
      </c>
      <c r="F89" s="0" t="inlineStr">
        <is>
          <t xml:space="preserve">Región Metropolitana de Santiago</t>
        </is>
      </c>
      <c r="G89" s="0" t="inlineStr">
        <is>
          <t xml:space="preserve">Santiago Centro</t>
        </is>
      </c>
      <c r="H89" s="2">
        <v>46302.538113</v>
      </c>
      <c r="I89" s="2">
        <v>46324.625</v>
      </c>
      <c r="J89" s="0">
        <v>14</v>
      </c>
      <c r="K89" s="3">
        <v>75203.0</v>
      </c>
      <c r="L89" s="0" t="inlineStr">
        <is>
          <t xml:space="preserve">USD</t>
        </is>
      </c>
      <c r="M89" s="0" t="inlineStr">
        <is>
          <t xml:space="preserve">LP</t>
        </is>
      </c>
      <c r="N89" s="4" t="inlineStr">
        <is>
          <t xml:space="preserve">Tecnologías de la información, telecomunicaciones y radiodifusión / Equipos informáticos y accesorios / Computadores</t>
        </is>
      </c>
      <c r="O89" s="4" t="inlineStr">
        <is>
          <t xml:space="preserve">60 Mes · Servidores</t>
        </is>
      </c>
      <c r="P89" s="2"/>
      <c r="Q89" s="2"/>
      <c r="R89" s="0" t="inlineStr">
        <is>
          <t xml:space="preserve">60 meses</t>
        </is>
      </c>
      <c r="S89" s="0" t="inlineStr">
        <is>
          <t xml:space="preserve">No</t>
        </is>
      </c>
      <c r="T89"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89" s="0" t="inlineStr">
        <is>
          <t xml:space="preserve">Cristian Mella Cisterna</t>
        </is>
      </c>
      <c r="V89" s="4" t="inlineStr">
        <is>
          <t xml:space="preserve">Contar con una infraestructura tecnológica robusta, segura y escalable que permita alojar y soportar los desarrollos tecnológicos actuales y futuros de la Fiscalía Nacional Económica.</t>
        </is>
      </c>
      <c r="W89" s="5" t="str">
        <f>HYPERLINK("https://www.mercadopublico.cl/Procurement/Modules/Attachment/ViewAttachment.aspx?enc=s7an4uXZhVHetY1Xf5e4E06XsSObAd1n3tP6rFE9Dh0wL56YuTTOeYkIYhUbMkbuYtr5qP64qgHNIs2KmnvE%2fJIk9Jr9fyOkDhj7aP6Ti6CbwO1wOTF4nwDl6BBogyihV4iFa9OGBCAGzUc8ueCeFvER1aeN5sqp1v6we9dOSFQzilQVW2QY4Q5v%2b4qA2RJoWu7rsMyqkYSn4L2fbPp8poDkeLxKeqU6PFPXFaMfsWP9jsv%2bHcCilPgFOexzI8FuO4D2rFrPzfQL3fPzSCaZuSp%2bG9OYbkVtDtDkrOhHyYaZMrOzHwKmvpPUwEmILaZc","descargar bases")</f>
      </c>
    </row>
    <row r="90">
      <c r="A90" s="0" t="inlineStr">
        <is>
          <t xml:space="preserve">2656-77-LP26</t>
        </is>
      </c>
      <c r="B90" s="4" t="inlineStr">
        <is>
          <t xml:space="preserve">ARRIENDO SISTEMAS MUNICIPALES Y CLOUD COMPUTING</t>
        </is>
      </c>
      <c r="C90" s="0" t="inlineStr">
        <is>
          <t xml:space="preserve">Publicada</t>
        </is>
      </c>
      <c r="D90" s="0" t="inlineStr">
        <is>
          <t xml:space="preserve">I MUNICIPALIDAD DE TOME</t>
        </is>
      </c>
      <c r="E90" s="0" t="inlineStr">
        <is>
          <t xml:space="preserve">Dirección de Administración y Finanzas</t>
        </is>
      </c>
      <c r="F90" s="0" t="inlineStr">
        <is>
          <t xml:space="preserve">Región del Biobío </t>
        </is>
      </c>
      <c r="G90" s="0" t="inlineStr">
        <is>
          <t xml:space="preserve">Tomé</t>
        </is>
      </c>
      <c r="H90" s="2">
        <v>46304.85662</v>
      </c>
      <c r="I90" s="2">
        <v>46324.625694</v>
      </c>
      <c r="J90" s="0">
        <v>14</v>
      </c>
      <c r="K90" s="3">
        <v>3907.0</v>
      </c>
      <c r="L90" s="0" t="inlineStr">
        <is>
          <t xml:space="preserve">CLF</t>
        </is>
      </c>
      <c r="M90" s="0" t="inlineStr">
        <is>
          <t xml:space="preserve">LP</t>
        </is>
      </c>
      <c r="N90" s="4" t="inlineStr">
        <is>
          <t xml:space="preserve">Tecnologías de la información, telecomunicaciones y radiodifusión / Software / Software de entorno operativo</t>
        </is>
      </c>
      <c r="O90" s="4" t="inlineStr">
        <is>
          <t xml:space="preserve">1 Pack · Software de sistema de archivos</t>
        </is>
      </c>
      <c r="P90" s="2"/>
      <c r="Q90" s="2"/>
      <c r="R90" s="0"/>
      <c r="S90" s="0" t="inlineStr">
        <is>
          <t xml:space="preserve">No</t>
        </is>
      </c>
      <c r="T90" s="4"/>
      <c r="U90" s="0" t="inlineStr">
        <is>
          <t xml:space="preserve">patricio parra</t>
        </is>
      </c>
      <c r="V90"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90" s="5" t="str">
        <f>HYPERLINK("https://www.mercadopublico.cl/Procurement/Modules/Attachment/ViewAttachment.aspx?enc=Khq0FBWMfIPZ1XjRbmTagkBaFUkNVgMuuvjTML8yp44txmosaK7p1%2fEDFGPG4z03WFhEohBp7ANGo1qnnWrz0OMxRV1IZMABb9UzXO2%2fTHVohvmrF9XnnqQ5sy%2bh1bbR6eHNi19qi6uEA35oJRkKbbvqhbdrmCsBIbzK2AwLpNXzHc%2bcEjBnANZcbZBW4MqWfkHTEbErRF09IQ995BYlPmpIpTBd1tYQ1GjUolI6PaHusQrq6fpvNunGU1VcBU2Pt7nwx%2f0lDl4uQbiRqpDZFdCEQAwCoc3mMTkxWm5FMd%2fMj5zZDMSXj9t%2f5Jj8Z5K6","descargar bases")</f>
      </c>
    </row>
    <row r="91">
      <c r="A91" s="0" t="inlineStr">
        <is>
          <t xml:space="preserve">838794-12-LE26</t>
        </is>
      </c>
      <c r="B91" s="4" t="inlineStr">
        <is>
          <t xml:space="preserve">Tótem gestor de fila CAPSVILLA</t>
        </is>
      </c>
      <c r="C91" s="0" t="inlineStr">
        <is>
          <t xml:space="preserve">Publicada</t>
        </is>
      </c>
      <c r="D91" s="0" t="inlineStr">
        <is>
          <t xml:space="preserve">DIRECCION DE ABASTECIMIENTO DE LA ARMADA</t>
        </is>
      </c>
      <c r="E91" s="0" t="inlineStr">
        <is>
          <t xml:space="preserve">CENTRAL DE ATENCION PRIMARIA DE SALUD DE LA ARMADA</t>
        </is>
      </c>
      <c r="F91" s="0" t="inlineStr">
        <is>
          <t xml:space="preserve">Región de Valparaíso </t>
        </is>
      </c>
      <c r="G91" s="0" t="inlineStr">
        <is>
          <t xml:space="preserve">Viña del Mar</t>
        </is>
      </c>
      <c r="H91" s="2">
        <v>46309.66228</v>
      </c>
      <c r="I91" s="2">
        <v>46324.666667</v>
      </c>
      <c r="J91" s="0">
        <v>14</v>
      </c>
      <c r="K91" s="3"/>
      <c r="L91" s="0" t="inlineStr">
        <is>
          <t xml:space="preserve">CLP</t>
        </is>
      </c>
      <c r="M91" s="0" t="inlineStr">
        <is>
          <t xml:space="preserve">LE</t>
        </is>
      </c>
      <c r="N91" s="4" t="inlineStr">
        <is>
          <t xml:space="preserve">Equipos y suministros de defensa, orden público, protección y seguridad / Equipos para orden público / Equipo para control de disturbios</t>
        </is>
      </c>
      <c r="O91" s="4" t="inlineStr">
        <is>
          <t xml:space="preserve">1 Unidad · Sistemas de control de formación de filas</t>
        </is>
      </c>
      <c r="P91" s="2"/>
      <c r="Q91" s="2"/>
      <c r="R91" s="0"/>
      <c r="S91" s="0" t="inlineStr">
        <is>
          <t xml:space="preserve">No</t>
        </is>
      </c>
      <c r="T91" s="4" t="inlineStr">
        <is>
          <t xml:space="preserve">CAPITULO XVIII DE LAS BASES ADMINISTRATIVAS DE LA PRESENTE LICITACION.</t>
        </is>
      </c>
      <c r="U91" s="0" t="inlineStr">
        <is>
          <t xml:space="preserve">VICTOR LABRIN TAPIA</t>
        </is>
      </c>
      <c r="V91" s="4" t="inlineStr">
        <is>
          <t xml:space="preserve">Ordenar la espera de atención de pacientes que asisten a los Centros de Atención Primaria de Salud de Villa Alemana, en adelante CAPSVILLA.</t>
        </is>
      </c>
      <c r="W91" s="5" t="str">
        <f>HYPERLINK("https://www.mercadopublico.cl/Procurement/Modules/Attachment/ViewAttachment.aspx?enc=PZkiOG%2fBgkodAA2SNX2Lv7Y1Zr5uheq9sOB0Cy50b4ZOj3YE%2bte6jJgOl7S6OWVPHPvBpwEG3ftfhJD%2f2XrKSDYkSprSioP61xcJDYy7jM6vaF0Hqahv4%2b1Mk73fNBDGOEJPaMhnNyFb1Q0GToFsGAj8pvZlpXBDrSlL7uXYcLeAGhvOxzYpKh558KxXYBeoq8pFQCmQ8REVtlpSRU5FbSY%2bbANi1h3f2frfGZiIEf63JTEIkVfYS5LGqiVT5PQgT7x%2fTIlX4z4MN0oovKzFVS2VeLR1MPiMSyIyqehnZH12hf33jckfBMLdpSJOwW%2fF","descargar bases")</f>
      </c>
    </row>
    <row r="92">
      <c r="A92" s="0" t="inlineStr">
        <is>
          <t xml:space="preserve">976-18-O126</t>
        </is>
      </c>
      <c r="B92" s="4" t="inlineStr">
        <is>
          <t xml:space="preserve">ATIF Ampliación Plataformas Comercial y General Ad. El Loa</t>
        </is>
      </c>
      <c r="C92" s="0" t="inlineStr">
        <is>
          <t xml:space="preserve">Publicada</t>
        </is>
      </c>
      <c r="D92" s="0" t="inlineStr">
        <is>
          <t xml:space="preserve">MINISTERIO DE OBRAS PUBLICAS DIREC CION GRAL DE OO PP DCYF</t>
        </is>
      </c>
      <c r="E92" s="0" t="inlineStr">
        <is>
          <t xml:space="preserve">Dirección de Aeropuertos - MOPTT</t>
        </is>
      </c>
      <c r="F92" s="0" t="inlineStr">
        <is>
          <t xml:space="preserve">Región de Antofagasta </t>
        </is>
      </c>
      <c r="G92" s="0" t="inlineStr">
        <is>
          <t xml:space="preserve">Santiago</t>
        </is>
      </c>
      <c r="H92" s="2">
        <v>46290.38125</v>
      </c>
      <c r="I92" s="2">
        <v>46325.375</v>
      </c>
      <c r="J92" s="0">
        <v>15</v>
      </c>
      <c r="K92" s="3"/>
      <c r="L92" s="0" t="inlineStr">
        <is>
          <t xml:space="preserve">CLP</t>
        </is>
      </c>
      <c r="M92" s="0" t="inlineStr">
        <is>
          <t xml:space="preserve">O1</t>
        </is>
      </c>
      <c r="N92" s="4" t="inlineStr">
        <is>
          <t xml:space="preserve">Consultoria / Consultoria / Planificación y Factibilidad</t>
        </is>
      </c>
      <c r="O92" s="4" t="inlineStr">
        <is>
          <t xml:space="preserve">1 Unidad · Licitación Pública de Consultoria</t>
        </is>
      </c>
      <c r="P92" s="2"/>
      <c r="Q92" s="2"/>
      <c r="R92" s="0"/>
      <c r="S92" s="0" t="inlineStr">
        <is>
          <t xml:space="preserve">No</t>
        </is>
      </c>
      <c r="T92" s="4"/>
      <c r="U92" s="0"/>
      <c r="V92" s="4" t="inlineStr">
        <is>
          <t xml:space="preserve">ESTA DIRECCIÓN NECESITA CONTRATAR ASESORÍA TECNICA DE INSPECCIÓN FISCAL PARA EL CONTRATO DE OBRA AMPLICACION PLATAFORMAS COMERCIAL Y GENERAL AERÓDROMO EL LOA</t>
        </is>
      </c>
      <c r="W92" s="5" t="str">
        <f>HYPERLINK("https://www.mercadopublico.cl/Procurement/Modules/Attachment/ViewAttachment.aspx?enc=cLVhMCSkSTUqABMhWvmMRjbr%2bxgSZDAr%2bIZ96%2fSwx8TshpsoKQQtbfgbhQPigPLxjy8Y3RTiE7NiBFXZlhPolb9NDgKkqAjkQ6uHsa2U%2b1c6D1%2f1iSwPzOL5Ms9KfRIUfBHfrO5hX6%2brCKdwozGiHatt9UU9ALV7OgIBVMfFAJfce3Bu78Gx%2brmMGoQqfxk3gw5WctAbias8JlsF1cQ%2f63kPpkhdM6fZeZimnTJzxf2MtZOmdkyq4Fw431s1x7IB1PicGuYcqC4YdlnY%2fLm528f5nZBWdBNfKnwac8SN9XQZ4JDwSz018hrbHNex9boJ","descargar bases")</f>
      </c>
    </row>
    <row r="93">
      <c r="A93" s="0" t="inlineStr">
        <is>
          <t xml:space="preserve">976-15-O126</t>
        </is>
      </c>
      <c r="B93" s="4" t="inlineStr">
        <is>
          <t xml:space="preserve">Ampliación Plataformas Comercial y General Ad. El Loa</t>
        </is>
      </c>
      <c r="C93" s="0" t="inlineStr">
        <is>
          <t xml:space="preserve">Publicada</t>
        </is>
      </c>
      <c r="D93" s="0" t="inlineStr">
        <is>
          <t xml:space="preserve">MINISTERIO DE OBRAS PUBLICAS DIREC CION GRAL DE OO PP DCYF</t>
        </is>
      </c>
      <c r="E93" s="0" t="inlineStr">
        <is>
          <t xml:space="preserve">Dirección de Aeropuertos - MOPTT</t>
        </is>
      </c>
      <c r="F93" s="0" t="inlineStr">
        <is>
          <t xml:space="preserve">Región de Antofagasta </t>
        </is>
      </c>
      <c r="G93" s="0" t="inlineStr">
        <is>
          <t xml:space="preserve">Santiago</t>
        </is>
      </c>
      <c r="H93" s="2">
        <v>46265.341667</v>
      </c>
      <c r="I93" s="2">
        <v>46325.458333</v>
      </c>
      <c r="J93" s="0">
        <v>15</v>
      </c>
      <c r="K93" s="3"/>
      <c r="L93" s="0" t="inlineStr">
        <is>
          <t xml:space="preserve">CLP</t>
        </is>
      </c>
      <c r="M93" s="0" t="inlineStr">
        <is>
          <t xml:space="preserve">O1</t>
        </is>
      </c>
      <c r="N93" s="4" t="inlineStr">
        <is>
          <t xml:space="preserve">Consultoria / Consultoria / Planificación y Factibilidad</t>
        </is>
      </c>
      <c r="O93" s="4" t="inlineStr">
        <is>
          <t xml:space="preserve">1 Unidad · Licitación Pública de Obra</t>
        </is>
      </c>
      <c r="P93" s="2"/>
      <c r="Q93" s="2"/>
      <c r="R93" s="0"/>
      <c r="S93" s="0" t="inlineStr">
        <is>
          <t xml:space="preserve">No</t>
        </is>
      </c>
      <c r="T93" s="4"/>
      <c r="U93" s="0"/>
      <c r="V93" s="4" t="inlineStr">
        <is>
          <t xml:space="preserve">Esta Dirección necesita llamar a licitación para contratar la obra Ampliación Plataformas Comercial y General Aeródromo El Loa.</t>
        </is>
      </c>
      <c r="W93" s="5" t="str">
        <f>HYPERLINK("https://www.mercadopublico.cl/Procurement/Modules/Attachment/ViewAttachment.aspx?enc=tRmZJMu4fLIed%2fNBMyafex92ZuG4Qj7cvSnd0vWQ9Wp%2fHyA1gYsUs45j0iqNMRJTE6uk8y6atzXnbDUGSG8pnNQFJs8KJFbH%2f7rwUpic%2fpW86Vek6YICA9rkqM3nqOoiUsZGlrKUL17tRFxNAX1OUMe6Kr%2bWxdJ%2fRl0vVzE%2bkGL9I4IEdbeutzQRgwXUVE4a24kp3jrWd%2fDZUjfB6CSQE9NgmPCV7gOE95wnUOIeRtxn2sE5mJNGPquE30WAN%2bSrvT%2f2BVRIq6FhMVcuQVIlwAA52XA%2fiGv%2bllnBf1bqMLcB9kbGiGDTMMN63ush0%2blQ","descargar bases")</f>
      </c>
    </row>
    <row r="94">
      <c r="A94" s="0" t="inlineStr">
        <is>
          <t xml:space="preserve">2490-91-LP26</t>
        </is>
      </c>
      <c r="B94" s="4" t="inlineStr">
        <is>
          <t xml:space="preserve">ARRIENDO SOPORTE Y MANTENCIÓN DE GABINETES PSICOSENSOMÉTRICOS Y EQUIPOS COMPUTACIONALES CON SOFTWARE SPI INTEGRADO 2027-2031</t>
        </is>
      </c>
      <c r="C94" s="0" t="inlineStr">
        <is>
          <t xml:space="preserve">Publicada</t>
        </is>
      </c>
      <c r="D94" s="0" t="inlineStr">
        <is>
          <t xml:space="preserve">I MUNICIPALIDAD DE PROVIDENCIA</t>
        </is>
      </c>
      <c r="E94" s="0" t="inlineStr">
        <is>
          <t xml:space="preserve">Dirección de Secpla</t>
        </is>
      </c>
      <c r="F94" s="0" t="inlineStr">
        <is>
          <t xml:space="preserve">Región Metropolitana de Santiago</t>
        </is>
      </c>
      <c r="G94" s="0" t="inlineStr">
        <is>
          <t xml:space="preserve">Providencia</t>
        </is>
      </c>
      <c r="H94" s="2">
        <v>46296.700741</v>
      </c>
      <c r="I94" s="2">
        <v>46325.541667</v>
      </c>
      <c r="J94" s="0">
        <v>15</v>
      </c>
      <c r="K94" s="3">
        <v>190000000.0</v>
      </c>
      <c r="L94" s="0" t="inlineStr">
        <is>
          <t xml:space="preserve">CLP</t>
        </is>
      </c>
      <c r="M94" s="0" t="inlineStr">
        <is>
          <t xml:space="preserve">LP</t>
        </is>
      </c>
      <c r="N94" s="4" t="inlineStr">
        <is>
          <t xml:space="preserve">Equipos y suministros de defensa, orden público, protección y seguridad / Seguridad y control público / Control de tráfico</t>
        </is>
      </c>
      <c r="O94" s="4" t="inlineStr">
        <is>
          <t xml:space="preserve">1 Global · Señales de tránsito</t>
        </is>
      </c>
      <c r="P94" s="2"/>
      <c r="Q94" s="2"/>
      <c r="R94" s="0" t="inlineStr">
        <is>
          <t xml:space="preserve">48 meses</t>
        </is>
      </c>
      <c r="S94" s="0" t="inlineStr">
        <is>
          <t xml:space="preserve">No</t>
        </is>
      </c>
      <c r="T94" s="4"/>
      <c r="U94" s="0" t="inlineStr">
        <is>
          <t xml:space="preserve">Luis Barrientos Echavarría</t>
        </is>
      </c>
      <c r="V94"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94" s="5" t="str">
        <f>HYPERLINK("https://www.mercadopublico.cl/Procurement/Modules/Attachment/ViewAttachment.aspx?enc=7X4g%2fjQrQgV%2fn9bOBDajidIzSAYRLfIBccyLBbwhjKpHTWfvEK0wawH9ZJL%2fXSuKTnHbeiOzGHaExTrkpEI6GD3TASVR3qTaoHI%2blWm8D8KQwp2jQtQilVpC3fd8CgYmaViI2GaRr%2bmy6a9LngEnwE8n83%2bTlnOSaPG6bZj97gkPsISnKdB%2f4iJgd3Tk5wyeZn8d7%2bePMaNNY11auF3obd6r34yqScQHPMNBZHka%2bqJAUSKti4azM6T1ZvshuJwlowHZ3zKb5%2fU50GSO3ifDx%2bv4D4DkFf%2fbAG6J1s2IjfPvJ3sggswrLnqW5WPCMJfu","descargar bases")</f>
      </c>
    </row>
    <row r="95">
      <c r="A95" s="0" t="inlineStr">
        <is>
          <t xml:space="preserve">2982-48-LE26</t>
        </is>
      </c>
      <c r="B95" s="4" t="inlineStr">
        <is>
          <t xml:space="preserve">SERVICIO DE RENOVACIÓN Y ADQUISICIÓN DE LICENCIAS SOFTWARE DETEP - JENAED</t>
        </is>
      </c>
      <c r="C95" s="0" t="inlineStr">
        <is>
          <t xml:space="preserve">Publicada</t>
        </is>
      </c>
      <c r="D95" s="0" t="inlineStr">
        <is>
          <t xml:space="preserve">POLICIA DE INVESTIGACIONES DE CHILE</t>
        </is>
      </c>
      <c r="E95" s="0" t="inlineStr">
        <is>
          <t xml:space="preserve">JEFATURA NACIONAL DE EDUCACIÓN Y DOCTRINA (JENAED)</t>
        </is>
      </c>
      <c r="F95" s="0" t="inlineStr">
        <is>
          <t xml:space="preserve">Región Metropolitana de Santiago</t>
        </is>
      </c>
      <c r="G95" s="0" t="inlineStr">
        <is>
          <t xml:space="preserve">Estación Central</t>
        </is>
      </c>
      <c r="H95" s="2">
        <v>46303.729861</v>
      </c>
      <c r="I95" s="2">
        <v>46325.625</v>
      </c>
      <c r="J95" s="0">
        <v>15</v>
      </c>
      <c r="K95" s="3">
        <v>18063000.0</v>
      </c>
      <c r="L95" s="0" t="inlineStr">
        <is>
          <t xml:space="preserve">CLP</t>
        </is>
      </c>
      <c r="M95" s="0" t="inlineStr">
        <is>
          <t xml:space="preserve">LE</t>
        </is>
      </c>
      <c r="N95" s="4" t="inlineStr">
        <is>
          <t xml:space="preserve">Tecnologías de la información, telecomunicaciones y radiodifusión / Software / Software de gestión</t>
        </is>
      </c>
      <c r="O95" s="4" t="inlineStr">
        <is>
          <t xml:space="preserve">1 Kit · Software de gestión de licencias</t>
        </is>
      </c>
      <c r="P95" s="2"/>
      <c r="Q95" s="2"/>
      <c r="R95" s="0"/>
      <c r="S95" s="0" t="inlineStr">
        <is>
          <t xml:space="preserve">No</t>
        </is>
      </c>
      <c r="T95" s="4" t="inlineStr">
        <is>
          <t xml:space="preserve">Subcontratación permitida solo en servicios accesorios y despacho.</t>
        </is>
      </c>
      <c r="U95" s="0" t="inlineStr">
        <is>
          <t xml:space="preserve">LUIS ROJAS CASTRO</t>
        </is>
      </c>
      <c r="V95"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95" s="5" t="str">
        <f>HYPERLINK("https://www.mercadopublico.cl/Procurement/Modules/Attachment/ViewAttachment.aspx?enc=ACr4NEhrHLrvXseS%2fUddyCXcaU5pK84kFA%2bG4MnCno4qL2cKXVsO73QyWie4mKbbBcc8XVuv7YXU31W91AR%2bzbtONKj42aA0CYkh%2fzDEUBy%2bXoccNqSFLQDqCyjGl6TmFW9HaJ2ECGAdMkfN%2b9JZapMQYOJwnKR7cbcWsohdJgk6zIpf98qU4riHfCHYN06Ymgx3jPFLTW8WraUNibhNrAjsj3H5BkTsUk3nHriFgr4Yw4MaDlXf1ZRk8qs6gCWYtI3mQAjqyVe%2fgZz%2fwDOjKqdcdISXdiEfqxF7JQejxGLwdluDSS0R3A231Gc2LY8e","descargar bases")</f>
      </c>
    </row>
    <row r="96">
      <c r="A96" s="0" t="inlineStr">
        <is>
          <t xml:space="preserve">5441-12-LP26</t>
        </is>
      </c>
      <c r="B96" s="4" t="inlineStr">
        <is>
          <t xml:space="preserve">Generador 500 kVA y Tablero de Transf. Autom. 800A</t>
        </is>
      </c>
      <c r="C96" s="0" t="inlineStr">
        <is>
          <t xml:space="preserve">Publicada</t>
        </is>
      </c>
      <c r="D96" s="0" t="inlineStr">
        <is>
          <t xml:space="preserve">UNIVERSIDAD DE CHILE</t>
        </is>
      </c>
      <c r="E96" s="0" t="inlineStr">
        <is>
          <t xml:space="preserve">UCHILE Facultad Cs.Veterinarias</t>
        </is>
      </c>
      <c r="F96" s="0" t="inlineStr">
        <is>
          <t xml:space="preserve">Región Metropolitana de Santiago</t>
        </is>
      </c>
      <c r="G96" s="0" t="inlineStr">
        <is>
          <t xml:space="preserve">La Pintana</t>
        </is>
      </c>
      <c r="H96" s="2">
        <v>46302.464919</v>
      </c>
      <c r="I96" s="2">
        <v>46328.625694</v>
      </c>
      <c r="J96" s="0">
        <v>18</v>
      </c>
      <c r="K96" s="3"/>
      <c r="L96" s="0" t="inlineStr">
        <is>
          <t xml:space="preserve">CLP</t>
        </is>
      </c>
      <c r="M96" s="0" t="inlineStr">
        <is>
          <t xml:space="preserve">LP</t>
        </is>
      </c>
      <c r="N96"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96" s="4" t="inlineStr">
        <is>
          <t xml:space="preserve">1 Unidad · Generadores diesel · 1 Unidad · Paneles de control eléctrico para generadores</t>
        </is>
      </c>
      <c r="P96" s="2"/>
      <c r="Q96" s="2"/>
      <c r="R96" s="0"/>
      <c r="S96" s="0" t="inlineStr">
        <is>
          <t xml:space="preserve">No</t>
        </is>
      </c>
      <c r="T96" s="4"/>
      <c r="U96" s="0" t="inlineStr">
        <is>
          <t xml:space="preserve">Carlos Miranda</t>
        </is>
      </c>
      <c r="V96"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96" s="5" t="str">
        <f>HYPERLINK("https://www.mercadopublico.cl/Procurement/Modules/Attachment/ViewAttachment.aspx?enc=a1X5P7x2%2bLmXhNj2Om%2b0dqX%2f9r25yYXavGaAC0I%2f96hiVXux4wfceC%2bk5dtTJfq9WH%2bAperHSMYZYI6BbGT0BVvgwItOe%2fS9tgLPSdCdGFBpruPoImK076GCc9x7dniMxyaPuXLADnPyVNOHhPUfM%2b0K8TbkIoIIXDVriVvqsICTWzgcbYukYM9RIN6oz%2b5D7fZ%2bWxDxRM0MSqRrFkCnrHbXATfajHHlKy6%2beTAjJlPWTDmQ1%2fSVuLOM6NrToC25O1buLTKH0d1wN%2fOx2SPc%2fBKASuKITNniwxfUNXq8eM%2b6UyA7H78M%2fyLQAaL5RhPH","descargar bases")</f>
      </c>
    </row>
    <row r="97">
      <c r="A97" s="0" t="inlineStr">
        <is>
          <t xml:space="preserve">587-47-LE26</t>
        </is>
      </c>
      <c r="B97" s="4" t="inlineStr">
        <is>
          <t xml:space="preserve">RENOVACIÓN DE LICENCIAS DE SOFTWARE</t>
        </is>
      </c>
      <c r="C97" s="0" t="inlineStr">
        <is>
          <t xml:space="preserve">Publicada</t>
        </is>
      </c>
      <c r="D97" s="0" t="inlineStr">
        <is>
          <t xml:space="preserve">SUBSECRETARIA DEL MINISTERIO DE LA VIVIENDA Y URBANISMO</t>
        </is>
      </c>
      <c r="E97" s="0" t="inlineStr">
        <is>
          <t xml:space="preserve">Ministerio de Vivienda y Urbanismo(766)</t>
        </is>
      </c>
      <c r="F97" s="0" t="inlineStr">
        <is>
          <t xml:space="preserve">Región Metropolitana de Santiago</t>
        </is>
      </c>
      <c r="G97" s="0"/>
      <c r="H97" s="2">
        <v>46302.47669</v>
      </c>
      <c r="I97" s="2">
        <v>46328.631944</v>
      </c>
      <c r="J97" s="0">
        <v>18</v>
      </c>
      <c r="K97" s="3">
        <v>52000.0</v>
      </c>
      <c r="L97" s="0" t="inlineStr">
        <is>
          <t xml:space="preserve">USD</t>
        </is>
      </c>
      <c r="M97" s="0" t="inlineStr">
        <is>
          <t xml:space="preserve">LE</t>
        </is>
      </c>
      <c r="N97" s="4" t="inlineStr">
        <is>
          <t xml:space="preserve">Tecnologías de la información, telecomunicaciones y radiodifusión / Software / Software de gestión</t>
        </is>
      </c>
      <c r="O97" s="4" t="inlineStr">
        <is>
          <t xml:space="preserve">12 Unidad · Software de gestión de licencias</t>
        </is>
      </c>
      <c r="P97" s="2"/>
      <c r="Q97" s="2"/>
      <c r="R97" s="0" t="inlineStr">
        <is>
          <t xml:space="preserve">12 meses</t>
        </is>
      </c>
      <c r="S97" s="0" t="inlineStr">
        <is>
          <t xml:space="preserve">No</t>
        </is>
      </c>
      <c r="T97" s="4" t="inlineStr">
        <is>
          <t xml:space="preserve">NO PERMITE SUBCONTRATACIÓN VER PUNTO 1.13.5.7. “SUBCONTRATACIÓN” DE LAS BASES ADMINISTRATIVAS.</t>
        </is>
      </c>
      <c r="U97" s="0" t="inlineStr">
        <is>
          <t xml:space="preserve">Adrian Muñoz Brevis</t>
        </is>
      </c>
      <c r="V97"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97" s="5" t="str">
        <f>HYPERLINK("https://www.mercadopublico.cl/Procurement/Modules/Attachment/ViewAttachment.aspx?enc=p931IOe3cP4jMzthSKGSO7Cw8RdLn6pT%2fAo7NhEINJEPToxh7Nqd%2b4z0qvgDsKdFFde%2fSvdJQySFSFkksEk2HO9RVVSiZ29Ii912XptbQWycGACzkv21bK4ou9RufsvGCd1CfU1nLwJlg6siYJtQt6ORvc5rR7RtSk6cRU4DHPmAfQtzpmQfoKGGmX4OBSTnCLCy43hDCmot32vE9PufeyLPTo5pPOVDhbpBAdZSy3%2f253CrClVhKpd6YM7dCGEkqM1cMmhQFfHk3FkwesdWJaGkXtR%2bCU63%2blSO8otjTqYcRZvRs747lx1GMKKGCi6q","descargar bases")</f>
      </c>
    </row>
    <row r="98">
      <c r="A98" s="0" t="inlineStr">
        <is>
          <t xml:space="preserve">2735-149-LR26</t>
        </is>
      </c>
      <c r="B98" s="4" t="inlineStr">
        <is>
          <t xml:space="preserve">Servicio de Software de Gestión y Registro Clinico</t>
        </is>
      </c>
      <c r="C98" s="0" t="inlineStr">
        <is>
          <t xml:space="preserve">Publicada</t>
        </is>
      </c>
      <c r="D98" s="0" t="inlineStr">
        <is>
          <t xml:space="preserve">I MUNICIPALIDAD LO BARNECHEA</t>
        </is>
      </c>
      <c r="E98" s="0" t="inlineStr">
        <is>
          <t xml:space="preserve">Municipalidad de lo Barnechea - Adquisiciones - Consistorial</t>
        </is>
      </c>
      <c r="F98" s="0" t="inlineStr">
        <is>
          <t xml:space="preserve">Región Metropolitana de Santiago</t>
        </is>
      </c>
      <c r="G98" s="0" t="inlineStr">
        <is>
          <t xml:space="preserve">Lo Barnechea</t>
        </is>
      </c>
      <c r="H98" s="2">
        <v>46296.503356</v>
      </c>
      <c r="I98" s="2">
        <v>46328.645833</v>
      </c>
      <c r="J98" s="0">
        <v>18</v>
      </c>
      <c r="K98" s="3"/>
      <c r="L98" s="0" t="inlineStr">
        <is>
          <t xml:space="preserve">CLF</t>
        </is>
      </c>
      <c r="M98" s="0" t="inlineStr">
        <is>
          <t xml:space="preserve">LR</t>
        </is>
      </c>
      <c r="N98" s="4" t="inlineStr">
        <is>
          <t xml:space="preserve">Tecnologías de la información, telecomunicaciones y radiodifusión / Software / Software específico para la industria</t>
        </is>
      </c>
      <c r="O98" s="4" t="inlineStr">
        <is>
          <t xml:space="preserve">1 Unidad · Software médico</t>
        </is>
      </c>
      <c r="P98" s="2"/>
      <c r="Q98" s="2"/>
      <c r="R98" s="0" t="inlineStr">
        <is>
          <t xml:space="preserve">63 meses</t>
        </is>
      </c>
      <c r="S98" s="0" t="inlineStr">
        <is>
          <t xml:space="preserve">No</t>
        </is>
      </c>
      <c r="T98" s="4" t="inlineStr">
        <is>
          <t xml:space="preserve">Conforme a lo establecido en el numeral 16.6 de las bases administrativas</t>
        </is>
      </c>
      <c r="U98" s="0" t="inlineStr">
        <is>
          <t xml:space="preserve">Angelica Parra</t>
        </is>
      </c>
      <c r="V9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98" s="5" t="str">
        <f>HYPERLINK("https://www.mercadopublico.cl/Procurement/Modules/Attachment/ViewAttachment.aspx?enc=mbo4XCPDTed3eiFcr%2bMBqafEFATBW%2bASFotSTma8wCn1pL5sXvVwJm8Lhbo2F%2fEL%2f5Ce8txHzB7A67eGR5cwe3w0QrRQEKsfqhe5tVPJ8ZcWU5UkE80TPZYFidJS21M%2fcz6q8zFrGEKhWUuX698Jha4a%2bO1BTJ5BVqmXATJV5WFZTAqcBWJQorm6M8y0Fg07RpPzYHkLERe93Sa7USPtrsgSBlOUPZQrreIX0C8xI6MxBIwfnkmvB%2bLEDXbZ9eaf0PLgSaGonz0IedkrQPlrKfFSOXfSBIH2CG8Qwo5O2yLGIoXMjWHkA2EiTslh1jCI","descargar bases")</f>
      </c>
    </row>
    <row r="99">
      <c r="A99" s="0" t="inlineStr">
        <is>
          <t xml:space="preserve">519302-9-LE26</t>
        </is>
      </c>
      <c r="B99" s="4" t="inlineStr">
        <is>
          <t xml:space="preserve">DISEÑO IMPLEMENTACIÓN MEDICION MARKETING DIGITAL</t>
        </is>
      </c>
      <c r="C99" s="0" t="inlineStr">
        <is>
          <t xml:space="preserve">Publicada</t>
        </is>
      </c>
      <c r="D99" s="0" t="inlineStr">
        <is>
          <t xml:space="preserve">INSTITUTO NACIONAL DE PROPIEDAD INDUSTRIAL</t>
        </is>
      </c>
      <c r="E99" s="0" t="inlineStr">
        <is>
          <t xml:space="preserve">Servicios Generales</t>
        </is>
      </c>
      <c r="F99" s="0" t="inlineStr">
        <is>
          <t xml:space="preserve">Región Metropolitana de Santiago</t>
        </is>
      </c>
      <c r="G99" s="0" t="inlineStr">
        <is>
          <t xml:space="preserve">Santiago</t>
        </is>
      </c>
      <c r="H99" s="2">
        <v>46304.665139</v>
      </c>
      <c r="I99" s="2">
        <v>46328.666667</v>
      </c>
      <c r="J99" s="0">
        <v>18</v>
      </c>
      <c r="K99" s="3"/>
      <c r="L99" s="0" t="inlineStr">
        <is>
          <t xml:space="preserve">CLP</t>
        </is>
      </c>
      <c r="M99" s="0" t="inlineStr">
        <is>
          <t xml:space="preserve">LE</t>
        </is>
      </c>
      <c r="N99" s="4" t="inlineStr">
        <is>
          <t xml:space="preserve">Servicios profesionales, administrativos y consultorías de gestión empresarial / Servicios para la comercialización y distribución / Ventas y marketing</t>
        </is>
      </c>
      <c r="O99" s="4" t="inlineStr">
        <is>
          <t xml:space="preserve">1 Unidad · Campañas publicitarias o de marketing</t>
        </is>
      </c>
      <c r="P99" s="2"/>
      <c r="Q99" s="2"/>
      <c r="R99" s="0" t="inlineStr">
        <is>
          <t xml:space="preserve">3 meses</t>
        </is>
      </c>
      <c r="S99" s="0" t="inlineStr">
        <is>
          <t xml:space="preserve">No</t>
        </is>
      </c>
      <c r="T99" s="4"/>
      <c r="U99" s="0" t="inlineStr">
        <is>
          <t xml:space="preserve">Francisco Carrasco Ramírez</t>
        </is>
      </c>
      <c r="V99"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99" s="5" t="str">
        <f>HYPERLINK("https://www.mercadopublico.cl/Procurement/Modules/Attachment/ViewAttachment.aspx?enc=4nfDA%2b4Ick1VCKCCWG4kjKTlkTYrcHOvn5%2f9gdU%2beagoEbyi9w%2fVzn%2fsrySrCoxywOb5Kmp4hFfiX8lWMcXrxsSVG66qQ%2frCQJH4B%2fkYGezEkZkoPMaxYEysmwkth2rH8elfMD9WyV4XYMw4e8czbyRpf0HQ7JTnukvSfEZa11FT3TZZchlR9fv4Da2eXYyxDQfiTm5JsdfTvXU8ryXzLZzJA8DgqOx%2bg5jNMFiB%2bb5QdRUbd%2fwh4SBMtualB%2bMS6qh0LtNbERcusbC7f6hdkMvNqQMlLIId9Cv%2fSeULXYbG8PKvrWSWQQtVPYFpW6re","descargar bases")</f>
      </c>
    </row>
    <row r="100">
      <c r="A100" s="0" t="inlineStr">
        <is>
          <t xml:space="preserve">621-909-LR26</t>
        </is>
      </c>
      <c r="B100" s="4" t="inlineStr">
        <is>
          <t xml:space="preserve">TERMOGRAFO DIGITAL MONITOREO TEMPERATURA 1000023277</t>
        </is>
      </c>
      <c r="C100" s="0" t="inlineStr">
        <is>
          <t xml:space="preserve">Publicada</t>
        </is>
      </c>
      <c r="D100" s="0" t="inlineStr">
        <is>
          <t xml:space="preserve">CENTRAL DE ABASTECIMIENTO DEL SISTEMA NACIONAL DE SERVICIO DE SALUD</t>
        </is>
      </c>
      <c r="E100" s="0" t="inlineStr">
        <is>
          <t xml:space="preserve">Compras del Giro 621</t>
        </is>
      </c>
      <c r="F100" s="0" t="inlineStr">
        <is>
          <t xml:space="preserve">Región Metropolitana de Santiago</t>
        </is>
      </c>
      <c r="G100" s="0" t="inlineStr">
        <is>
          <t xml:space="preserve">Santiago Centro</t>
        </is>
      </c>
      <c r="H100" s="2">
        <v>46297.536181</v>
      </c>
      <c r="I100" s="2">
        <v>46328.666667</v>
      </c>
      <c r="J100" s="0">
        <v>18</v>
      </c>
      <c r="K100" s="3">
        <v>533715000.0</v>
      </c>
      <c r="L100" s="0" t="inlineStr">
        <is>
          <t xml:space="preserve">CLP</t>
        </is>
      </c>
      <c r="M100" s="0" t="inlineStr">
        <is>
          <t xml:space="preserve">LR</t>
        </is>
      </c>
      <c r="N100" s="4" t="inlineStr">
        <is>
          <t xml:space="preserve">Equipamiento para laboratorios / Instrumentos de medida y experimentación / Instrumentos para medir temperatura y calor</t>
        </is>
      </c>
      <c r="O100" s="4" t="inlineStr">
        <is>
          <t xml:space="preserve">3000 Unidad · Termómetros de tele indicación</t>
        </is>
      </c>
      <c r="P100" s="2"/>
      <c r="Q100" s="2"/>
      <c r="R100" s="0" t="inlineStr">
        <is>
          <t xml:space="preserve">14 meses</t>
        </is>
      </c>
      <c r="S100" s="0" t="inlineStr">
        <is>
          <t xml:space="preserve">No</t>
        </is>
      </c>
      <c r="T100" s="4"/>
      <c r="U100" s="0" t="inlineStr">
        <is>
          <t xml:space="preserve">Gisela Teresa Castro Gomez</t>
        </is>
      </c>
      <c r="V100"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00" s="5" t="str">
        <f>HYPERLINK("https://www.mercadopublico.cl/Procurement/Modules/Attachment/ViewAttachment.aspx?enc=%2f19UWxxKOwkmLc1GrWtY7kwibAvu9FagOrka8o%2fpkQOoNrZ8hCYWU2gooNdUXytqfhE7pPhz8KnU4DRHl1rcgvDblbRw4QMNWC%2fzfVFkopZ%2fdQRL4%2bo%2fUEtGWqi9Dsr4OwMj1hGItNcS74CggXZ5cmj4gRG0zcgdn5X2%2fnxboOgAShuJyPhqW%2bWiI9myzfwLiI3wgfsvnHgEUW5BpIBaeZkdrWo89OeAowRlJ%2fVsZQgD1eo%2bRv6jLs6lN%2fAGRkRlx5d316NCVXsln%2fSazwFJzE6e2medcsXdBuF%2flHzNubeB3Su4R7rJ6fvQlaDbyTRE","descargar bases")</f>
      </c>
    </row>
    <row r="101">
      <c r="A101" s="0" t="inlineStr">
        <is>
          <t xml:space="preserve">2426-52-LR26</t>
        </is>
      </c>
      <c r="B101" s="4" t="inlineStr">
        <is>
          <t xml:space="preserve">DATACENTER ENLACES DE DATOS TELEFONIA E INTERNET</t>
        </is>
      </c>
      <c r="C101" s="0" t="inlineStr">
        <is>
          <t xml:space="preserve">Publicada</t>
        </is>
      </c>
      <c r="D101" s="0" t="inlineStr">
        <is>
          <t xml:space="preserve">I MUNICIPALIDAD DE VALPARAISO</t>
        </is>
      </c>
      <c r="E101" s="0" t="inlineStr">
        <is>
          <t xml:space="preserve">ADQUISICIONES MAYORES</t>
        </is>
      </c>
      <c r="F101" s="0" t="inlineStr">
        <is>
          <t xml:space="preserve">Región de Valparaíso </t>
        </is>
      </c>
      <c r="G101" s="0" t="inlineStr">
        <is>
          <t xml:space="preserve">Valparaíso</t>
        </is>
      </c>
      <c r="H101" s="2">
        <v>46297.658079</v>
      </c>
      <c r="I101" s="2">
        <v>46328.708333</v>
      </c>
      <c r="J101" s="0">
        <v>18</v>
      </c>
      <c r="K101" s="3">
        <v>40719.0</v>
      </c>
      <c r="L101" s="0" t="inlineStr">
        <is>
          <t xml:space="preserve">CLF</t>
        </is>
      </c>
      <c r="M101" s="0" t="inlineStr">
        <is>
          <t xml:space="preserve">LR</t>
        </is>
      </c>
      <c r="N101" s="4" t="inlineStr">
        <is>
          <t xml:space="preserve">Servicios basados en ingeniería, ciencias sociales y tecnología de la información / Servicios informáticos / Servicios de datos</t>
        </is>
      </c>
      <c r="O101" s="4" t="inlineStr">
        <is>
          <t xml:space="preserve">1 Unidad · Centro de servicios de datos</t>
        </is>
      </c>
      <c r="P101" s="2"/>
      <c r="Q101" s="2"/>
      <c r="R101" s="0" t="inlineStr">
        <is>
          <t xml:space="preserve">48 meses</t>
        </is>
      </c>
      <c r="S101" s="0" t="inlineStr">
        <is>
          <t xml:space="preserve">No</t>
        </is>
      </c>
      <c r="T101" s="4"/>
      <c r="U101" s="0" t="inlineStr">
        <is>
          <t xml:space="preserve">Juan Carlos Tempine</t>
        </is>
      </c>
      <c r="V101" s="4" t="inlineStr">
        <is>
          <t xml:space="preserve">SERVICIOS DE DATA CENTER, ENLACES DE DATOS, TELEFONÍA E INTERNET PARA LA MUNICIPALIDAD DE VALPARAÍSO</t>
        </is>
      </c>
      <c r="W101" s="5" t="str">
        <f>HYPERLINK("https://www.mercadopublico.cl/Procurement/Modules/Attachment/ViewAttachment.aspx?enc=npu5viboKLJO67QcPsTzaeThxpqmtb3sUusXsN8D12Hz7urnHRTd43O2lE5L22e0dSKOBS1Gc5flSbN8F6AECyWOordSq%2fjGm6nr%2bla%2b4oVMBG9KH5HPFhSTuTRlaL7OE4a7%2bnfGjrhT%2bmTNy67OMY3NFrg1Q%2bfj14s13DioUFgdwiQWqSd1S2eMDuED3zuf3aIB7MLzJjovGX2kujddwAzFO1uoK4urmw6sLzhWl9I%2bYe5Zo3xrdM5Hf4iBVln52CznFM92dl8iHbP4TudY26dPo%2fCcMFRg2XF%2b6sJPsPvu9OzYaG0V8rGicsL0M%2fp9","descargar bases")</f>
      </c>
    </row>
    <row r="102">
      <c r="A102" s="0" t="inlineStr">
        <is>
          <t xml:space="preserve">2770-154-LP26</t>
        </is>
      </c>
      <c r="B102" s="4" t="inlineStr">
        <is>
          <t xml:space="preserve">SERVICIOS DE TELEFONÍA Y DATOS MÓVILES</t>
        </is>
      </c>
      <c r="C102" s="0" t="inlineStr">
        <is>
          <t xml:space="preserve">Publicada</t>
        </is>
      </c>
      <c r="D102" s="0" t="inlineStr">
        <is>
          <t xml:space="preserve">I MUNICIPALIDAD DE MAIPU</t>
        </is>
      </c>
      <c r="E102" s="0" t="inlineStr">
        <is>
          <t xml:space="preserve">I MUNICIPALIDAD DE MAIPU</t>
        </is>
      </c>
      <c r="F102" s="0" t="inlineStr">
        <is>
          <t xml:space="preserve">Región Metropolitana de Santiago</t>
        </is>
      </c>
      <c r="G102" s="0" t="inlineStr">
        <is>
          <t xml:space="preserve">Maipú</t>
        </is>
      </c>
      <c r="H102" s="2">
        <v>46308.486238</v>
      </c>
      <c r="I102" s="2">
        <v>46329.625</v>
      </c>
      <c r="J102" s="0">
        <v>19</v>
      </c>
      <c r="K102" s="3">
        <v>193200000.0</v>
      </c>
      <c r="L102" s="0" t="inlineStr">
        <is>
          <t xml:space="preserve">CLP</t>
        </is>
      </c>
      <c r="M102" s="0" t="inlineStr">
        <is>
          <t xml:space="preserve">LP</t>
        </is>
      </c>
      <c r="N102" s="4" t="inlineStr">
        <is>
          <t xml:space="preserve">Servicios básicos y de información pública / Telecomunicaciones / Comunicaciones móviles</t>
        </is>
      </c>
      <c r="O102" s="4" t="inlineStr">
        <is>
          <t xml:space="preserve">1 Global · Servicios de telefonía móvil</t>
        </is>
      </c>
      <c r="P102" s="2"/>
      <c r="Q102" s="2"/>
      <c r="R102" s="0" t="inlineStr">
        <is>
          <t xml:space="preserve">24 meses</t>
        </is>
      </c>
      <c r="S102" s="0" t="inlineStr">
        <is>
          <t xml:space="preserve">No</t>
        </is>
      </c>
      <c r="T102" s="4"/>
      <c r="U102" s="0" t="inlineStr">
        <is>
          <t xml:space="preserve">Teresa Olave Quinteros</t>
        </is>
      </c>
      <c r="V102"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102" s="5" t="str">
        <f>HYPERLINK("https://www.mercadopublico.cl/Procurement/Modules/Attachment/ViewAttachment.aspx?enc=5USpdZQCdGbulw2If3Fc%2fIfRJ099aCuysEiRCB1mdZOlMEPZ7P4QUY%2f%2fqcJyphZHtJjicjYdovMCpBJ1KgslNIPLVYbz2R3DUsFPOL043HqsLlhbaAw5pjpHoRPb7e3f4VfVokEiPyQtXTZQCUWUc7vMxjMbSBX71ZWxxpoaYhNNzsKbvr7yqMwhiLTfarzA%2fH7FJYpq85RM59jG7E3sJN74f8s6siSixE2rtXDg4bEw94I6tR3eVrEpEq60rCSsJVdA81GTeLnGhgJKZaA4uPw3ne47QbrUglyz6JmAsbpAQJhOJHXM6ulBS7ekrewZ","descargar bases")</f>
      </c>
    </row>
    <row r="103">
      <c r="A103" s="0" t="inlineStr">
        <is>
          <t xml:space="preserve">654478-7-LP26</t>
        </is>
      </c>
      <c r="B103" s="4" t="inlineStr">
        <is>
          <t xml:space="preserve">RENOVACIÓN DE SOPORTE DE LICENCIAS DE SOFTWARE</t>
        </is>
      </c>
      <c r="C103" s="0" t="inlineStr">
        <is>
          <t xml:space="preserve">Publicada</t>
        </is>
      </c>
      <c r="D103" s="0" t="inlineStr">
        <is>
          <t xml:space="preserve">SUBSECRETARIA DE PREVENCION DEL DELITO</t>
        </is>
      </c>
      <c r="E103" s="0" t="inlineStr">
        <is>
          <t xml:space="preserve">Subsecretaría de Prevención del Delito</t>
        </is>
      </c>
      <c r="F103" s="0" t="inlineStr">
        <is>
          <t xml:space="preserve">Región Metropolitana de Santiago</t>
        </is>
      </c>
      <c r="G103" s="0" t="inlineStr">
        <is>
          <t xml:space="preserve">Santiago</t>
        </is>
      </c>
      <c r="H103" s="2">
        <v>46309.503866</v>
      </c>
      <c r="I103" s="2">
        <v>46329.666667</v>
      </c>
      <c r="J103" s="0">
        <v>19</v>
      </c>
      <c r="K103" s="3">
        <v>368390.0</v>
      </c>
      <c r="L103" s="0" t="inlineStr">
        <is>
          <t xml:space="preserve">USD</t>
        </is>
      </c>
      <c r="M103" s="0" t="inlineStr">
        <is>
          <t xml:space="preserve">LP</t>
        </is>
      </c>
      <c r="N103" s="4" t="inlineStr">
        <is>
          <t xml:space="preserve">Tecnologías de la información, telecomunicaciones y radiodifusión / Software / Software de gestión</t>
        </is>
      </c>
      <c r="O103" s="4" t="inlineStr">
        <is>
          <t xml:space="preserve">1 Unidad · Software de gestión de licencias · 1 Unidad · Software de gestión de licencias · 1 Unidad · Software de gestión de licencias · y 11 más</t>
        </is>
      </c>
      <c r="P103" s="2"/>
      <c r="Q103" s="2"/>
      <c r="R103" s="0" t="inlineStr">
        <is>
          <t xml:space="preserve">24 meses</t>
        </is>
      </c>
      <c r="S103" s="0" t="inlineStr">
        <is>
          <t xml:space="preserve">No</t>
        </is>
      </c>
      <c r="T103" s="4" t="inlineStr">
        <is>
          <t xml:space="preserve">No está permitida dada la especificidad del servicio requerido.</t>
        </is>
      </c>
      <c r="U103" s="0" t="inlineStr">
        <is>
          <t xml:space="preserve">Luis Alarcón Ruiz</t>
        </is>
      </c>
      <c r="V103"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103" s="5" t="str">
        <f>HYPERLINK("https://www.mercadopublico.cl/Procurement/Modules/Attachment/ViewAttachment.aspx?enc=pAKiTyJgknyu9CnyH%2fkXb5F3%2fEDXX0MOzyzG%2fcgjkG8f7Nw8xwOb7iqP4nTnRzOAqQzU8m6doDxbM8t4i5vDD8PdTzjf%2b5RPMkuAHiMFMOoO05ufjtk7v1HW8OokU2nu6htNevhodrPmlh7m9kHYsR76nHl9jcQ7ilGRTIKKvP%2fqq%2bFxgSap39lEg3jIAqpHDO5WFMGk4BF%2fGS1swtWH6N69V%2fkEfMg4bdDfH0334Rf2WvWjiV3oUI7lWzfIBBYzcLoNtKED1EAFLGXi0p99bTMT0scRg20HLu6%2fbkEbeE2eXV7iPHDBoVYajfpttpbH","descargar bases")</f>
      </c>
    </row>
    <row r="104">
      <c r="A104" s="0" t="inlineStr">
        <is>
          <t xml:space="preserve">4362-31-LP26</t>
        </is>
      </c>
      <c r="B104" s="4" t="inlineStr">
        <is>
          <t xml:space="preserve">Construcción Hitos de Acceso y Tótems Turísticos</t>
        </is>
      </c>
      <c r="C104" s="0" t="inlineStr">
        <is>
          <t xml:space="preserve">Publicada</t>
        </is>
      </c>
      <c r="D104" s="0" t="inlineStr">
        <is>
          <t xml:space="preserve">I MUNICIPALIDAD DE NACIMIENTO</t>
        </is>
      </c>
      <c r="E104" s="0" t="inlineStr">
        <is>
          <t xml:space="preserve">Secplan</t>
        </is>
      </c>
      <c r="F104" s="0" t="inlineStr">
        <is>
          <t xml:space="preserve">Región del Biobío </t>
        </is>
      </c>
      <c r="G104" s="0" t="inlineStr">
        <is>
          <t xml:space="preserve">Nacimiento</t>
        </is>
      </c>
      <c r="H104" s="2">
        <v>46309.782396</v>
      </c>
      <c r="I104" s="2">
        <v>46330.375</v>
      </c>
      <c r="J104" s="0">
        <v>20</v>
      </c>
      <c r="K104" s="3"/>
      <c r="L104" s="0" t="inlineStr">
        <is>
          <t xml:space="preserve">CLP</t>
        </is>
      </c>
      <c r="M104" s="0" t="inlineStr">
        <is>
          <t xml:space="preserve">LP</t>
        </is>
      </c>
      <c r="N104" s="4" t="inlineStr">
        <is>
          <t xml:space="preserve">Servicios de construcción y mantenimiento / Construcción de edificios en general / Construcción de obras civiles y infraestructuras</t>
        </is>
      </c>
      <c r="O104" s="4" t="inlineStr">
        <is>
          <t xml:space="preserve">1 Unidad · Construcción de obras civiles</t>
        </is>
      </c>
      <c r="P104" s="2"/>
      <c r="Q104" s="2"/>
      <c r="R104" s="0" t="inlineStr">
        <is>
          <t xml:space="preserve">90 días</t>
        </is>
      </c>
      <c r="S104" s="0" t="inlineStr">
        <is>
          <t xml:space="preserve">No</t>
        </is>
      </c>
      <c r="T104" s="4"/>
      <c r="U104" s="0" t="inlineStr">
        <is>
          <t xml:space="preserve">Gonzalo Antonio Oñate</t>
        </is>
      </c>
      <c r="V104"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104" s="5" t="str">
        <f>HYPERLINK("https://www.mercadopublico.cl/Procurement/Modules/Attachment/ViewAttachment.aspx?enc=roIyIvB7YSDvuDgBc1xAeWYAZGyLLrHka3uZCdFbAUME4uSLn0UH6%2beNgguiP6Kuk0JTARSthLcdwcboVavMmSIH100vPOUsNqydw%2fubyP4ZO5HxSYVW0%2fQxSqJfTQzGCkfRObF%2fMZcWcKL01oNABxuKN377esAJSxLpv0uCxHaPaJBfRBP%2fdwLkKS3xwRgBKwwO3iObzk4KSLYmqt8E%2b38Z6FFPuVEWFchX%2fadVJEzWkS0k7JlPYmV5t%2bmH7Gl6w%2fPIspjT6LOY9aBsF0xpL%2bEFF5HalQNjYfMY36Cf7sVDI5PW01FKXXAlEAHAdy8S","descargar bases")</f>
      </c>
    </row>
    <row r="105">
      <c r="A105" s="0" t="inlineStr">
        <is>
          <t xml:space="preserve">4127-51-LR26</t>
        </is>
      </c>
      <c r="B105" s="4" t="inlineStr">
        <is>
          <t xml:space="preserve">[DIGEDEP]Cursos M-Learning Plataforma SIAD 26-27</t>
        </is>
      </c>
      <c r="C105" s="0" t="inlineStr">
        <is>
          <t xml:space="preserve">Publicada</t>
        </is>
      </c>
      <c r="D105" s="0" t="inlineStr">
        <is>
          <t xml:space="preserve">SUBSECRETARIA DE SALUD PUBLICA</t>
        </is>
      </c>
      <c r="E105" s="0" t="inlineStr">
        <is>
          <t xml:space="preserve">Subsecretaria de Redes Asistenciales</t>
        </is>
      </c>
      <c r="F105" s="0" t="inlineStr">
        <is>
          <t xml:space="preserve">Región Metropolitana de Santiago</t>
        </is>
      </c>
      <c r="G105" s="0" t="inlineStr">
        <is>
          <t xml:space="preserve">Santiago</t>
        </is>
      </c>
      <c r="H105" s="2">
        <v>46300.445336</v>
      </c>
      <c r="I105" s="2">
        <v>46330.625</v>
      </c>
      <c r="J105" s="0">
        <v>20</v>
      </c>
      <c r="K105" s="3"/>
      <c r="L105" s="0" t="inlineStr">
        <is>
          <t xml:space="preserve">CLP</t>
        </is>
      </c>
      <c r="M105" s="0" t="inlineStr">
        <is>
          <t xml:space="preserve">LR</t>
        </is>
      </c>
      <c r="N105" s="4" t="inlineStr">
        <is>
          <t xml:space="preserve">Educación, formación, entrenamiento y capacitación / Sistemas educativos complementarios / Educación de adultos</t>
        </is>
      </c>
      <c r="O105" s="4" t="inlineStr">
        <is>
          <t xml:space="preserve">1 Unidad · Capacitación a empleados</t>
        </is>
      </c>
      <c r="P105" s="2"/>
      <c r="Q105" s="2"/>
      <c r="R105" s="0" t="inlineStr">
        <is>
          <t xml:space="preserve">12 meses</t>
        </is>
      </c>
      <c r="S105" s="0" t="inlineStr">
        <is>
          <t xml:space="preserve">No</t>
        </is>
      </c>
      <c r="T105" s="4"/>
      <c r="U105" s="0" t="inlineStr">
        <is>
          <t xml:space="preserve">Ana Osorio Yeuto</t>
        </is>
      </c>
      <c r="V105" s="4" t="inlineStr">
        <is>
          <t xml:space="preserve">Los servicios que considera este programa Sistema de Aprendizaje a Distancia SIAD son Despliegue de Cursos M- Learning, Desarrollo de Cursos Moodle, Actualizaciones Cursos Moodle Bacoffice para platafoma SIAD 2026 - 2027.</t>
        </is>
      </c>
      <c r="W105" s="5" t="str">
        <f>HYPERLINK("https://www.mercadopublico.cl/Procurement/Modules/Attachment/ViewAttachment.aspx?enc=0mhTyE6tr754NhwPf9Xd5sR%2bynNe548wW%2f%2fcRpzeyJ0xAN%2f7AiY%2bHVrb90M4nqCnkbp9bKkeKuuO%2fVJVnTYY8PODIKekhWDwVoZ87521i96GwJWiC%2bXi9b4E2jOflDbV%2b%2b7RQWCy76x453mb%2f9gSkM%2frFqubk0UZP8IC0FuvsjrWeKV%2buZ%2fcusOGf39K8VIitHP5oZhCmaWES7%2fXALBXSNNlTPgTkX%2fC2tjy3frpnWQHPXLahGrS6e%2btFW0ekC4vimJvVEfTLL1MJk7y9BJ0yNVy8IVa%2fWtFuSduI9eRS3X4cVoDMuJpYISbhtR%2b9z%2b7","descargar bases")</f>
      </c>
    </row>
    <row r="106">
      <c r="A106" s="0" t="inlineStr">
        <is>
          <t xml:space="preserve">1020-54-LP26</t>
        </is>
      </c>
      <c r="B106" s="4" t="inlineStr">
        <is>
          <t xml:space="preserve">Administración y Mantención de Bases de Datos MOP</t>
        </is>
      </c>
      <c r="C106" s="0" t="inlineStr">
        <is>
          <t xml:space="preserve">Publicada</t>
        </is>
      </c>
      <c r="D106" s="0" t="inlineStr">
        <is>
          <t xml:space="preserve">MINISTERIO DE OBRAS PUBLICAS DIREC CION GRAL DE OO PP DCYF</t>
        </is>
      </c>
      <c r="E106" s="0" t="inlineStr">
        <is>
          <t xml:space="preserve">MOP Subsecretaría </t>
        </is>
      </c>
      <c r="F106" s="0" t="inlineStr">
        <is>
          <t xml:space="preserve">Región Metropolitana de Santiago</t>
        </is>
      </c>
      <c r="G106" s="0"/>
      <c r="H106" s="2">
        <v>46303.478727</v>
      </c>
      <c r="I106" s="2">
        <v>46332.625</v>
      </c>
      <c r="J106" s="0">
        <v>22</v>
      </c>
      <c r="K106" s="3">
        <v>174000000.0</v>
      </c>
      <c r="L106" s="0" t="inlineStr">
        <is>
          <t xml:space="preserve">CLP</t>
        </is>
      </c>
      <c r="M106" s="0" t="inlineStr">
        <is>
          <t xml:space="preserve">LP</t>
        </is>
      </c>
      <c r="N106" s="4" t="inlineStr">
        <is>
          <t xml:space="preserve">Servicios profesionales, administrativos y consultorías de gestión empresarial / Servicios de recursos humanos / Contratación de personal</t>
        </is>
      </c>
      <c r="O106" s="4" t="inlineStr">
        <is>
          <t xml:space="preserve">24 Mes · Administradores de bases de datos</t>
        </is>
      </c>
      <c r="P106" s="2"/>
      <c r="Q106" s="2"/>
      <c r="R106" s="0" t="inlineStr">
        <is>
          <t xml:space="preserve">25 meses</t>
        </is>
      </c>
      <c r="S106" s="0" t="inlineStr">
        <is>
          <t xml:space="preserve">No</t>
        </is>
      </c>
      <c r="T106" s="4" t="inlineStr">
        <is>
          <t xml:space="preserve">Según 10.5 de las BA El oferente adjudicado no podrá subcontratar los servicios derivados de la ejecución del Contrato</t>
        </is>
      </c>
      <c r="U106" s="0" t="inlineStr">
        <is>
          <t xml:space="preserve">Francisco Borquez</t>
        </is>
      </c>
      <c r="V106"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06" s="5" t="str">
        <f>HYPERLINK("https://www.mercadopublico.cl/Procurement/Modules/Attachment/ViewAttachment.aspx?enc=5%2bSBHv1sIie3FthRK0KXrjGm0PuAzT3tkZqhMyeUcV%2bpjF2geQfb8xBvLkPK79LryAY8KdXYIONtDNuvAcvlF1pbIuUzqtiBA7NMYfvGH6FJDVufgAfq0DXksom8y00Eo8Q6QrvUlJpNDG6alqmEe%2btYxyg6Q4vkRLZ2ax%2fL6ioeG3zcgntkTgHqed82kqDNVKF6O3UX%2bKIQubBlEwoSZdLOwlQXF2laaTF0u9YyIAzQpuQjRU0q5EtmKTAGC%2bd0oJ%2bZWHJCp4xSwGTYpaJpR7mhfO1qO8W7iEyJzQ1%2b9wmOnPqLiYaEz8BN9TFCkLlp","descargar bases")</f>
      </c>
    </row>
    <row r="107">
      <c r="A107" s="0" t="inlineStr">
        <is>
          <t xml:space="preserve">605-17-LP26</t>
        </is>
      </c>
      <c r="B107" s="4" t="inlineStr">
        <is>
          <t xml:space="preserve">TELEFONÍA FIJA Y RED PRIVADA DE DATOS</t>
        </is>
      </c>
      <c r="C107" s="0" t="inlineStr">
        <is>
          <t xml:space="preserve">Publicada</t>
        </is>
      </c>
      <c r="D107" s="0" t="inlineStr">
        <is>
          <t xml:space="preserve">Consejo de Defensa del Estado</t>
        </is>
      </c>
      <c r="E107" s="0" t="inlineStr">
        <is>
          <t xml:space="preserve">Consejo de Defensa del Estado</t>
        </is>
      </c>
      <c r="F107" s="0" t="inlineStr">
        <is>
          <t xml:space="preserve">Región Metropolitana de Santiago</t>
        </is>
      </c>
      <c r="G107" s="0" t="inlineStr">
        <is>
          <t xml:space="preserve">Santiago</t>
        </is>
      </c>
      <c r="H107" s="2">
        <v>46267.454861</v>
      </c>
      <c r="I107" s="2">
        <v>46332.625</v>
      </c>
      <c r="J107" s="0">
        <v>22</v>
      </c>
      <c r="K107" s="3">
        <v>8500.0</v>
      </c>
      <c r="L107" s="0" t="inlineStr">
        <is>
          <t xml:space="preserve">CLF</t>
        </is>
      </c>
      <c r="M107" s="0" t="inlineStr">
        <is>
          <t xml:space="preserve">LP</t>
        </is>
      </c>
      <c r="N107" s="4" t="inlineStr">
        <is>
          <t xml:space="preserve">Servicios básicos y de información pública / Telecomunicaciones / Telefonía local y de larga distancia</t>
        </is>
      </c>
      <c r="O107" s="4" t="inlineStr">
        <is>
          <t xml:space="preserve">1 Unidad · Servicio telefónico local · 1 Unidad · Servicio de comunicación IP</t>
        </is>
      </c>
      <c r="P107" s="2"/>
      <c r="Q107" s="2"/>
      <c r="R107" s="0" t="inlineStr">
        <is>
          <t xml:space="preserve">24 meses</t>
        </is>
      </c>
      <c r="S107" s="0" t="inlineStr">
        <is>
          <t xml:space="preserve">No</t>
        </is>
      </c>
      <c r="T107"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07" s="0" t="inlineStr">
        <is>
          <t xml:space="preserve">IVANHOE AGUIRRE RIVERA</t>
        </is>
      </c>
      <c r="V107"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07" s="5" t="str">
        <f>HYPERLINK("https://www.mercadopublico.cl/Procurement/Modules/Attachment/ViewAttachment.aspx?enc=1lgeB%2b0ePbZogfQEnayutdaDdpBe0CNy3vmsRY2FeFaAmQG4RFNu9sAXBl8cdhQmLRTZS1IqvauMdWBjImVz9oza6KFolCZ6LsyOyief8DsBs0vqcGwCZ5gtbj2yDGdR6pbLRgdfMy1QzZnjjc0%2bNzDn6G%2bhcnSVaIqpcVCxV3bR7Q%2bU70y4LcYX1Wro1zcakIHd%2btCA6j%2b6PYjEImsRP02X2DZ793TfUuGfzl0ogTPtQBX0e3GIE3xkzo1EBoXQAxUX3MxhJF6FunTdOQA6TxYfxlYbkfchSD43AP6zyy6ftTMxecdwW6O0J40OFO%2bU","descargar bases")</f>
      </c>
    </row>
    <row r="108">
      <c r="A108" s="0" t="inlineStr">
        <is>
          <t xml:space="preserve">1113265-17-LE26</t>
        </is>
      </c>
      <c r="B108" s="4" t="inlineStr">
        <is>
          <t xml:space="preserve">PLATAFORMA DE GESTIÓN ESTRATÉGICA</t>
        </is>
      </c>
      <c r="C108" s="0" t="inlineStr">
        <is>
          <t xml:space="preserve">Publicada</t>
        </is>
      </c>
      <c r="D108" s="0" t="inlineStr">
        <is>
          <t xml:space="preserve">CENTRO DE FORMACION TECNICA DE LA REGION DE ANTOFAGASTA</t>
        </is>
      </c>
      <c r="E108" s="0" t="inlineStr">
        <is>
          <t xml:space="preserve">UNIDAD DE COMPRAS</t>
        </is>
      </c>
      <c r="F108" s="0" t="inlineStr">
        <is>
          <t xml:space="preserve">Región de Antofagasta </t>
        </is>
      </c>
      <c r="G108" s="0" t="inlineStr">
        <is>
          <t xml:space="preserve">Calama</t>
        </is>
      </c>
      <c r="H108" s="2">
        <v>46309.735046</v>
      </c>
      <c r="I108" s="2">
        <v>46332.63125</v>
      </c>
      <c r="J108" s="0">
        <v>22</v>
      </c>
      <c r="K108" s="3"/>
      <c r="L108" s="0" t="inlineStr">
        <is>
          <t xml:space="preserve">CLP</t>
        </is>
      </c>
      <c r="M108" s="0" t="inlineStr">
        <is>
          <t xml:space="preserve">LE</t>
        </is>
      </c>
      <c r="N108" s="4" t="inlineStr">
        <is>
          <t xml:space="preserve">Tecnologías de la información, telecomunicaciones y radiodifusión / Software / Software de consultas y gestión de datos</t>
        </is>
      </c>
      <c r="O108" s="4" t="inlineStr">
        <is>
          <t xml:space="preserve">1 Unidad · Software del sistema de administración de bases de datos</t>
        </is>
      </c>
      <c r="P108" s="2"/>
      <c r="Q108" s="2"/>
      <c r="R108" s="0" t="inlineStr">
        <is>
          <t xml:space="preserve">12 meses</t>
        </is>
      </c>
      <c r="S108" s="0" t="inlineStr">
        <is>
          <t xml:space="preserve">No</t>
        </is>
      </c>
      <c r="T108" s="4"/>
      <c r="U108" s="0" t="inlineStr">
        <is>
          <t xml:space="preserve">IVAN MELLA</t>
        </is>
      </c>
      <c r="V108" s="4" t="inlineStr">
        <is>
          <t xml:space="preserve">ADQUISICIÓN E IMPLEMENTACIÓN DE PLATAFORMA DE GESTIÓN ESTRATÉGICA DE LA PERMANENCIA ESTUDIANTIL PARA EL CENTRO DE FORMACIÓN TÉCNICA ESTATAL DE LA REGIÓN DE ANTOFAGASTA</t>
        </is>
      </c>
      <c r="W108" s="5" t="str">
        <f>HYPERLINK("https://www.mercadopublico.cl/Procurement/Modules/Attachment/ViewAttachment.aspx?enc=fPh9U9cuMukngCZottboDZm4k2UPCuvvDMn5hRpxhzMnFeV4ADb2Nxsvl0sjKn2aSriFkt%2bRxUnc07ThAmmwQRx6%2fFxb2vSTUfURWZG%2f%2fxM7onXh7JGswsLsxcEtfY8tT539gPvijeKwdosll4KCuiEi%2fM%2f67Yoxh1MzDVpbpWz90P03DTdUI1Mbc3bMB5Zq4eCymhrEvF1N06BwfBV%2btP5PdJOa8ZGgLM031tqRSDUYVsp5CFfDIOPZ4Q5R0VGSu4GcAtZXc6bgV5rPYAFtndSFci0Zp3b2vhbD5S2N649clgvUvq1y8y%2f6lbAOP9ya","descargar bases")</f>
      </c>
    </row>
    <row r="109">
      <c r="A109" s="0" t="inlineStr">
        <is>
          <t xml:space="preserve">1177296-25-LP26</t>
        </is>
      </c>
      <c r="B109"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09" s="0" t="inlineStr">
        <is>
          <t xml:space="preserve">Publicada</t>
        </is>
      </c>
      <c r="D109" s="0" t="inlineStr">
        <is>
          <t xml:space="preserve">SERVICIO NACIONAL DE PROTECCIÓN ESPECIALIZADA A LA NIÑEZ Y ADOLESCENCI</t>
        </is>
      </c>
      <c r="E109" s="0" t="inlineStr">
        <is>
          <t xml:space="preserve">SERVICIO NACIONAL DE PROTECCIÓN ESPECIALIZADA A LA</t>
        </is>
      </c>
      <c r="F109" s="0" t="inlineStr">
        <is>
          <t xml:space="preserve">Región Metropolitana de Santiago</t>
        </is>
      </c>
      <c r="G109" s="0" t="inlineStr">
        <is>
          <t xml:space="preserve">Santiago</t>
        </is>
      </c>
      <c r="H109" s="2">
        <v>46309.722616</v>
      </c>
      <c r="I109" s="2">
        <v>46335.625</v>
      </c>
      <c r="J109" s="0">
        <v>25</v>
      </c>
      <c r="K109" s="3"/>
      <c r="L109" s="0" t="inlineStr">
        <is>
          <t xml:space="preserve">CLP</t>
        </is>
      </c>
      <c r="M109" s="0" t="inlineStr">
        <is>
          <t xml:space="preserve">LP</t>
        </is>
      </c>
      <c r="N109" s="4" t="inlineStr">
        <is>
          <t xml:space="preserve">Equipos, accesorios y suministros de oficina / Maquinarias, suministros y accesorios de oficina / Máquinas y accesorios para registro de hora y asistencia en la oficina</t>
        </is>
      </c>
      <c r="O109" s="4" t="inlineStr">
        <is>
          <t xml:space="preserve">1 Global · Reloj de control</t>
        </is>
      </c>
      <c r="P109" s="2"/>
      <c r="Q109" s="2"/>
      <c r="R109" s="0" t="inlineStr">
        <is>
          <t xml:space="preserve">24 meses</t>
        </is>
      </c>
      <c r="S109" s="0" t="inlineStr">
        <is>
          <t xml:space="preserve">No</t>
        </is>
      </c>
      <c r="T109" s="4" t="inlineStr">
        <is>
          <t xml:space="preserve">Según lo indicado en bases de licitación adjuntas.</t>
        </is>
      </c>
      <c r="U109" s="0" t="inlineStr">
        <is>
          <t xml:space="preserve">Maximo Ovalle</t>
        </is>
      </c>
      <c r="V109" s="4" t="inlineStr">
        <is>
          <t xml:space="preserve">Adquirir servicios de instalación, mplementación, arriendo, soporte, mantención y operación de software y hardware de un sistema de  gestión de asistencia, relojes control y marcaje remoto con georreferenciación</t>
        </is>
      </c>
      <c r="W109" s="5" t="str">
        <f>HYPERLINK("https://www.mercadopublico.cl/Procurement/Modules/Attachment/ViewAttachment.aspx?enc=9QDg76ZyMbKF%2fzElLOhf0DlJkBuv91QB2O6qYhiyZQH0zc0iwRX1QeuglLwdU2aZBeIyihTm28esSNAvsEbimpdA65dOUdJbEqfxBn6s8Krt87FLVlO%2bK35TrXCGLqfTO7k2McIxydr1bA1c93z%2fEmalGcLtvf9TO3iDvsiAEVlxt3kDJXvINARHyrCrDYl8NoxU6%2fV5O0%2bBGyV3IBoIjTtvOK1K3C3D%2b2oguVsbhTeDXT4UcBDoiWIoj%2bo5%2bRheVEOJt0FuzKwsDUR2X6JRvcxuAoOhtDssBtOOynT1d26pYlWdgOiat2YWMnDUfoAW","descargar bases")</f>
      </c>
    </row>
    <row r="110">
      <c r="A110" s="0" t="inlineStr">
        <is>
          <t xml:space="preserve">2421-52-LR26</t>
        </is>
      </c>
      <c r="B110" s="4" t="inlineStr">
        <is>
          <t xml:space="preserve">SUMINISTRO SERVICIO DE TELECOMUNICACIONES DATOS Y VOZ</t>
        </is>
      </c>
      <c r="C110" s="0" t="inlineStr">
        <is>
          <t xml:space="preserve">Publicada</t>
        </is>
      </c>
      <c r="D110" s="0" t="inlineStr">
        <is>
          <t xml:space="preserve">I MUNICIPALIDAD DE CONCEPCION</t>
        </is>
      </c>
      <c r="E110" s="0" t="inlineStr">
        <is>
          <t xml:space="preserve">DIRECCION DE SALUD MUNICIPAL DE CONCEPCION</t>
        </is>
      </c>
      <c r="F110" s="0" t="inlineStr">
        <is>
          <t xml:space="preserve">Región del Biobío </t>
        </is>
      </c>
      <c r="G110" s="0" t="inlineStr">
        <is>
          <t xml:space="preserve">Concepción</t>
        </is>
      </c>
      <c r="H110" s="2">
        <v>46303.407569</v>
      </c>
      <c r="I110" s="2">
        <v>46335.625</v>
      </c>
      <c r="J110" s="0">
        <v>25</v>
      </c>
      <c r="K110" s="3"/>
      <c r="L110" s="0" t="inlineStr">
        <is>
          <t xml:space="preserve">CLP</t>
        </is>
      </c>
      <c r="M110" s="0" t="inlineStr">
        <is>
          <t xml:space="preserve">LR</t>
        </is>
      </c>
      <c r="N110" s="4" t="inlineStr">
        <is>
          <t xml:space="preserve">Servicios básicos y de información pública / Telecomunicaciones / Telefonía local y de larga distancia</t>
        </is>
      </c>
      <c r="O110" s="4" t="inlineStr">
        <is>
          <t xml:space="preserve">1 Unidad · Servicio telefónico local · 1 Unidad · Servicio telefónico local</t>
        </is>
      </c>
      <c r="P110" s="2"/>
      <c r="Q110" s="2"/>
      <c r="R110" s="0" t="inlineStr">
        <is>
          <t xml:space="preserve">60 meses</t>
        </is>
      </c>
      <c r="S110" s="0" t="inlineStr">
        <is>
          <t xml:space="preserve">No</t>
        </is>
      </c>
      <c r="T110" s="4"/>
      <c r="U110" s="0" t="inlineStr">
        <is>
          <t xml:space="preserve">MARCELO SEPULVEDA</t>
        </is>
      </c>
      <c r="V110" s="4" t="inlineStr">
        <is>
          <t xml:space="preserve">LA DIRECCION DE SALUD DE CONCEPCION SOLICITA LA ADQUISICION DE SUMINISTRO DE SERVICIO DE TELECOMUNICACIONES DE DATOS Y VOZ POR UN PLAZO DE 60 MESES.</t>
        </is>
      </c>
      <c r="W110" s="5" t="str">
        <f>HYPERLINK("https://www.mercadopublico.cl/Procurement/Modules/Attachment/ViewAttachment.aspx?enc=1EPXeyhJxkJN7548En3QPNrrczgZ2SMHO6%2fkFuXKyvMult%2fT3yslBjbso2l3hk9NZoE%2f1T7p2CPjBzXHHfekhLzv6M5EU7XBLm1iWb5qtQGKuRMGB%2fBEMEwvBOPh7WwahkfbkF8XOQ1tUaweFJfW1h%2fMMTqgXRiKZwAMDVtFIMLoG0GGd1ScEaqpiZuWNw2QAB9k%2fsVwz0E2eTx%2fjDavro1KrFhAvncNw0znrXVjw%2fbVMkMxXeio5Z18AwPkCVnlLUX6Njku2C11nFFRQIykdt39QeOpmp%2fADDiZDZQDFiZ4kfSglYrGI6NUFa11smgg","descargar bases")</f>
      </c>
    </row>
    <row r="111">
      <c r="A111" s="0" t="inlineStr">
        <is>
          <t xml:space="preserve">1057390-21-LR26</t>
        </is>
      </c>
      <c r="B111" s="4" t="inlineStr">
        <is>
          <t xml:space="preserve">PLATAFORMA CLOUD COMPUTING Y SERVICIOS ASOCIADOS ESISSAN</t>
        </is>
      </c>
      <c r="C111" s="0" t="inlineStr">
        <is>
          <t xml:space="preserve">Publicada</t>
        </is>
      </c>
      <c r="D111" s="0" t="inlineStr">
        <is>
          <t xml:space="preserve">SERVICIO DE SALUD ARAUCANIA NORTE</t>
        </is>
      </c>
      <c r="E111" s="0" t="inlineStr">
        <is>
          <t xml:space="preserve">Bienes y Servicios</t>
        </is>
      </c>
      <c r="F111" s="0" t="inlineStr">
        <is>
          <t xml:space="preserve">Región de la Araucanía </t>
        </is>
      </c>
      <c r="G111" s="0" t="inlineStr">
        <is>
          <t xml:space="preserve">Angol</t>
        </is>
      </c>
      <c r="H111" s="2">
        <v>46304.689398</v>
      </c>
      <c r="I111" s="2">
        <v>46335.645833</v>
      </c>
      <c r="J111" s="0">
        <v>25</v>
      </c>
      <c r="K111" s="3">
        <v>487000000.0</v>
      </c>
      <c r="L111" s="0" t="inlineStr">
        <is>
          <t xml:space="preserve">CLP</t>
        </is>
      </c>
      <c r="M111" s="0" t="inlineStr">
        <is>
          <t xml:space="preserve">LR</t>
        </is>
      </c>
      <c r="N111" s="4" t="inlineStr">
        <is>
          <t xml:space="preserve">Tecnologías de la información, telecomunicaciones y radiodifusión / Software / Software para trabajo en redes</t>
        </is>
      </c>
      <c r="O111" s="4" t="inlineStr">
        <is>
          <t xml:space="preserve">1 Unidad · Software de interconectividad de plataformas</t>
        </is>
      </c>
      <c r="P111" s="2"/>
      <c r="Q111" s="2"/>
      <c r="R111" s="0" t="inlineStr">
        <is>
          <t xml:space="preserve">36 meses</t>
        </is>
      </c>
      <c r="S111" s="0" t="inlineStr">
        <is>
          <t xml:space="preserve">No</t>
        </is>
      </c>
      <c r="T111" s="4"/>
      <c r="U111" s="0" t="inlineStr">
        <is>
          <t xml:space="preserve">Jorge Mora Bustamante</t>
        </is>
      </c>
      <c r="V111"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11" s="5" t="str">
        <f>HYPERLINK("https://www.mercadopublico.cl/Procurement/Modules/Attachment/ViewAttachment.aspx?enc=qnGgSEsOpQ2pErIAPp7rCzdKzA0vPoaKNSnZyNPuLGKDNWDwXFkM%2fVnXGBTP%2bAh3Ipo5zbAyQrbfeU50WWyk5Yl67NjFYFgsUX80iTF%2f0YBRy0D1En0yz4%2bhmZHs3JW0uLnxoQ18EvrAhJF7qB5Qn81GNediXssV%2ff5TKYzMJSpadLb88ECrqRIoHxSliZePqa%2fUOuIZbz%2f%2fadxvDhxH7wHYfd8K7nXmFh6p2bm7rnZXKU8HNv2yD6l5dP9jUX0R2CBtyKE%2bSXpIPDcCibBcdwEh66mwJ6xAJW5eufPrKN9dnTy863X%2bx9AVZ8UscxPz","descargar bases")</f>
      </c>
    </row>
    <row r="112">
      <c r="A112" s="0" t="inlineStr">
        <is>
          <t xml:space="preserve">1260-17-LP26</t>
        </is>
      </c>
      <c r="B112" s="4" t="inlineStr">
        <is>
          <t xml:space="preserve">NARRATIVAS DIGITALES Y PRODUCCION CONTENIDOS</t>
        </is>
      </c>
      <c r="C112" s="0" t="inlineStr">
        <is>
          <t xml:space="preserve">Publicada</t>
        </is>
      </c>
      <c r="D112" s="0" t="inlineStr">
        <is>
          <t xml:space="preserve">GOBIERNO REGIONAL REGION METROPOLITANA</t>
        </is>
      </c>
      <c r="E112" s="0" t="inlineStr">
        <is>
          <t xml:space="preserve">ADQUISICIONES - PROGRAMA 01</t>
        </is>
      </c>
      <c r="F112" s="0" t="inlineStr">
        <is>
          <t xml:space="preserve">Región Metropolitana de Santiago</t>
        </is>
      </c>
      <c r="G112" s="0"/>
      <c r="H112" s="2">
        <v>46303.472778</v>
      </c>
      <c r="I112" s="2">
        <v>46335.645833</v>
      </c>
      <c r="J112" s="0">
        <v>25</v>
      </c>
      <c r="K112" s="3">
        <v>160650000.0</v>
      </c>
      <c r="L112" s="0" t="inlineStr">
        <is>
          <t xml:space="preserve">CLP</t>
        </is>
      </c>
      <c r="M112" s="0" t="inlineStr">
        <is>
          <t xml:space="preserve">LP</t>
        </is>
      </c>
      <c r="N112" s="4" t="inlineStr">
        <is>
          <t xml:space="preserve">Servicios profesionales, administrativos y consultorías de gestión empresarial / Servicios para la comercialización y distribución / Ventas y marketing</t>
        </is>
      </c>
      <c r="O112" s="4" t="inlineStr">
        <is>
          <t xml:space="preserve">1 Unidad · Agencias de marketing de ventas, incluidas las impresiones</t>
        </is>
      </c>
      <c r="P112" s="2"/>
      <c r="Q112" s="2"/>
      <c r="R112" s="0" t="inlineStr">
        <is>
          <t xml:space="preserve">365 días</t>
        </is>
      </c>
      <c r="S112" s="0" t="inlineStr">
        <is>
          <t xml:space="preserve">No</t>
        </is>
      </c>
      <c r="T112" s="4"/>
      <c r="U112" s="0" t="inlineStr">
        <is>
          <t xml:space="preserve">Joaquín Orellana Calderón</t>
        </is>
      </c>
      <c r="V112"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12" s="5" t="str">
        <f>HYPERLINK("https://www.mercadopublico.cl/Procurement/Modules/Attachment/ViewAttachment.aspx?enc=K2rRAM%2fqtx3D%2bvMxCl%2f%2bn8h5OJyYq0CZfpTCtyObDdpWrSUqGmmegstYskdZtFd6Frsn3MQir3oOvSA8gBbg%2fg3A8rr0fGbrSSNsg%2b5lUB3jjsnDi5wFA7xVhMHFCrYYLL3acUoqFItLA%2bs9SOCNm%2bw0SLEZ5ck20aXMMu4ZSsTUrnXaH90vhGcDAe6MnkEauYVuGTEqYCKBz4Jv9QICMoMge0WRco5XUfL51bpphEVyAevbHih6eut%2frPSCRWAaElrG9YWfoDe7qpAOPaZIg24rFfz2L7k2%2b5hVmVYBR5MVwrmzjAQqMftmUFYIEysl","descargar bases")</f>
      </c>
    </row>
    <row r="113">
      <c r="A113" s="0" t="inlineStr">
        <is>
          <t xml:space="preserve">425-73-LP26</t>
        </is>
      </c>
      <c r="B113" s="4" t="inlineStr">
        <is>
          <t xml:space="preserve">Renovación de licencias de software CISCO</t>
        </is>
      </c>
      <c r="C113" s="0" t="inlineStr">
        <is>
          <t xml:space="preserve">Publicada</t>
        </is>
      </c>
      <c r="D113" s="0" t="inlineStr">
        <is>
          <t xml:space="preserve">CORP ADMINISTRATIVA DEL PODER JUDICIAL</t>
        </is>
      </c>
      <c r="E113" s="0" t="inlineStr">
        <is>
          <t xml:space="preserve">Servicios</t>
        </is>
      </c>
      <c r="F113" s="0" t="inlineStr">
        <is>
          <t xml:space="preserve">Región Metropolitana de Santiago</t>
        </is>
      </c>
      <c r="G113" s="0" t="inlineStr">
        <is>
          <t xml:space="preserve">Santiago Centro</t>
        </is>
      </c>
      <c r="H113" s="2">
        <v>46304.698588</v>
      </c>
      <c r="I113" s="2">
        <v>46335.666667</v>
      </c>
      <c r="J113" s="0">
        <v>25</v>
      </c>
      <c r="K113" s="3"/>
      <c r="L113" s="0" t="inlineStr">
        <is>
          <t xml:space="preserve">USD</t>
        </is>
      </c>
      <c r="M113" s="0" t="inlineStr">
        <is>
          <t xml:space="preserve">LP</t>
        </is>
      </c>
      <c r="N113" s="4" t="inlineStr">
        <is>
          <t xml:space="preserve">Tecnologías de la información, telecomunicaciones y radiodifusión / Software / Software de gestión</t>
        </is>
      </c>
      <c r="O113" s="4" t="inlineStr">
        <is>
          <t xml:space="preserve">5000 Unidad · Software de gestión de licencias · 20000 Unidad · Software de gestión de licencias · 11000 Unidad · Software de gestión de licencias · y 7 más</t>
        </is>
      </c>
      <c r="P113" s="2"/>
      <c r="Q113" s="2"/>
      <c r="R113" s="0" t="inlineStr">
        <is>
          <t xml:space="preserve">12 meses</t>
        </is>
      </c>
      <c r="S113" s="0" t="inlineStr">
        <is>
          <t xml:space="preserve">No</t>
        </is>
      </c>
      <c r="T113" s="4" t="inlineStr">
        <is>
          <t xml:space="preserve">Remítase a lo indicado en el numeral 15 de las bases administrativas especiales</t>
        </is>
      </c>
      <c r="U113" s="0" t="inlineStr">
        <is>
          <t xml:space="preserve">César Herrera Mejías</t>
        </is>
      </c>
      <c r="V113" s="4" t="inlineStr">
        <is>
          <t xml:space="preserve">UR (1804), Renovación de licencias de software CISCO</t>
        </is>
      </c>
      <c r="W113" s="5" t="str">
        <f>HYPERLINK("https://www.mercadopublico.cl/Procurement/Modules/Attachment/ViewAttachment.aspx?enc=UDyw5xlHvLG1Vq6jG%2fIUFgbuJdxOyn%2bphfIT1VSmY8jIcOi2QpE7vr7wABy47IxnqyTnPfzytGLJSJSolChzWCsIwhgvXUkAKfKzJFNQQE3tUjQntf2UTQIzljfQTXwZ0T%2fAn6ZlXXhrnfXKMrEeNvpZTRF08buHhdbk40jsagYJR4eExwDuP9bVI4gLgD%2bwjAPcMA9ZPTUXJCm3XlwAEXrb1sZ21Dp4u%2f7DTk%2fvEmMbOY1jiVHzqVV9LNILjl1PoKU4y5Xgpd8%2fao9tDVF6%2f7O3r2mMFabL66FLfciPGaWYWJH88bwslllURtzpeo2f","descargar bases")</f>
      </c>
    </row>
    <row r="114">
      <c r="A114" s="0" t="inlineStr">
        <is>
          <t xml:space="preserve">5240-109-LR26</t>
        </is>
      </c>
      <c r="B114" s="4" t="inlineStr">
        <is>
          <t xml:space="preserve">SOFTWARE USO FORENSE DE EXTRACC. Y ANALIS DE DATOS</t>
        </is>
      </c>
      <c r="C114" s="0" t="inlineStr">
        <is>
          <t xml:space="preserve">Publicada</t>
        </is>
      </c>
      <c r="D114" s="0" t="inlineStr">
        <is>
          <t xml:space="preserve">DIRECCION DE LOGISTICA DE CARABINEROS</t>
        </is>
      </c>
      <c r="E114" s="0" t="inlineStr">
        <is>
          <t xml:space="preserve">Direccion de Compras Publicas de Carabineros</t>
        </is>
      </c>
      <c r="F114" s="0" t="inlineStr">
        <is>
          <t xml:space="preserve">Región Metropolitana de Santiago</t>
        </is>
      </c>
      <c r="G114" s="0" t="inlineStr">
        <is>
          <t xml:space="preserve">Santiago Centro</t>
        </is>
      </c>
      <c r="H114" s="2">
        <v>46308.369236</v>
      </c>
      <c r="I114" s="2">
        <v>46339.645833</v>
      </c>
      <c r="J114" s="0">
        <v>29</v>
      </c>
      <c r="K114" s="3">
        <v>418036746.0</v>
      </c>
      <c r="L114" s="0" t="inlineStr">
        <is>
          <t xml:space="preserve">CLP</t>
        </is>
      </c>
      <c r="M114" s="0" t="inlineStr">
        <is>
          <t xml:space="preserve">LR</t>
        </is>
      </c>
      <c r="N114" s="4" t="inlineStr">
        <is>
          <t xml:space="preserve">Tecnologías de la información, telecomunicaciones y radiodifusión / Software / Software de consultas y gestión de datos</t>
        </is>
      </c>
      <c r="O114" s="4" t="inlineStr">
        <is>
          <t xml:space="preserve">2 Unidad · Software de extracción de datos · 1 Unidad · Software de extracción de datos · 3 Unidad · Software de extracción de datos · y 6 más</t>
        </is>
      </c>
      <c r="P114" s="2"/>
      <c r="Q114" s="2"/>
      <c r="R114" s="0"/>
      <c r="S114" s="0" t="inlineStr">
        <is>
          <t xml:space="preserve">No</t>
        </is>
      </c>
      <c r="T114" s="4" t="inlineStr">
        <is>
          <t xml:space="preserve">EL PROVEEDOR ADJUDICADO NO PODRA SUBCONTRATAR, CONFORME A LO SEÑALADO EN EL NUMERAL 5.21 CESIBILIDAD DEL CONTRATO Y SUBCONTRATACION DE LAS BASES ADMINISTRATIVAS ADJUNTAS.</t>
        </is>
      </c>
      <c r="U114" s="0" t="inlineStr">
        <is>
          <t xml:space="preserve">Departamento gestion de contratos</t>
        </is>
      </c>
      <c r="V114" s="4" t="inlineStr">
        <is>
          <t xml:space="preserve">MATERIALIZAR LA ADQUISICION DE SOFTWARE DE USO FORENSE DE EXTRACCION AVANZADO Y ANALISIS DE INFORMACION DIGITAL PARA EL DEPARTAMENTO CRIMINALISTICA DE CARABINEROS DE CHILE LABOCAR Y SECCIONES REGIONALES.</t>
        </is>
      </c>
      <c r="W114" s="5" t="str">
        <f>HYPERLINK("https://www.mercadopublico.cl/Procurement/Modules/Attachment/ViewAttachment.aspx?enc=sqtgHBtWSe8eQdEWAh9by9gE9Pv0kMHLtNYKPAUWwDPgoWhJ9kDoasNeQsfNW%2fJXjyRLupSb94mNoTQEtE9kgCX732oitkvlTqMlooPB%2fLefbbk6pYQhhg%2fnmvzsZpsFVL1vI1DzB8xj55sSHiwNY%2fQGLi0UgH%2fQgiPuKqoCYmehr%2b%2fWP6YvVWcWPGAqmCEFxa4iBs7MLJdMoOLq19FacBZ4AsztTT%2fK3Z5XFPbkUDt0DCWkRsCN7PyX8dGrqWIQPicImVS3LmtHUPSAWKrvdk2%2bW%2b7CWRnm0rL0if0Vs6%2f%2bFAbICWybLoN2YlUzrCPW","descargar bases")</f>
      </c>
    </row>
    <row r="115">
      <c r="A115" s="0" t="inlineStr">
        <is>
          <t xml:space="preserve">1057898-85-LR26</t>
        </is>
      </c>
      <c r="B115" s="4" t="inlineStr">
        <is>
          <t xml:space="preserve">ADQUISICIÓN DE SOFTWARES HIS-ESB-BI Y ERP PARA EL NUEVO HOSPITAL REGIONAL DE ÑUBLE</t>
        </is>
      </c>
      <c r="C115" s="0" t="inlineStr">
        <is>
          <t xml:space="preserve">Publicada</t>
        </is>
      </c>
      <c r="D115" s="0" t="inlineStr">
        <is>
          <t xml:space="preserve">SERVICIO DE SALUD NUBLE</t>
        </is>
      </c>
      <c r="E115" s="0" t="inlineStr">
        <is>
          <t xml:space="preserve">Activos Fijos</t>
        </is>
      </c>
      <c r="F115" s="0" t="inlineStr">
        <is>
          <t xml:space="preserve">Región del Ñuble</t>
        </is>
      </c>
      <c r="G115" s="0" t="inlineStr">
        <is>
          <t xml:space="preserve">Chillán</t>
        </is>
      </c>
      <c r="H115" s="2">
        <v>46304.500741</v>
      </c>
      <c r="I115" s="2">
        <v>46349.708333</v>
      </c>
      <c r="J115" s="0">
        <v>39</v>
      </c>
      <c r="K115" s="3">
        <v>19373825000.0</v>
      </c>
      <c r="L115" s="0" t="inlineStr">
        <is>
          <t xml:space="preserve">CLP</t>
        </is>
      </c>
      <c r="M115" s="0" t="inlineStr">
        <is>
          <t xml:space="preserve">LR</t>
        </is>
      </c>
      <c r="N115" s="4" t="inlineStr">
        <is>
          <t xml:space="preserve">Tecnologías de la información, telecomunicaciones y radiodifusión / Software / Software de administración de redes</t>
        </is>
      </c>
      <c r="O115" s="4" t="inlineStr">
        <is>
          <t xml:space="preserve">1 Global · Software de administración · 1 Global · Software de administración</t>
        </is>
      </c>
      <c r="P115" s="2"/>
      <c r="Q115" s="2"/>
      <c r="R115" s="0" t="inlineStr">
        <is>
          <t xml:space="preserve">96 meses</t>
        </is>
      </c>
      <c r="S115" s="0" t="inlineStr">
        <is>
          <t xml:space="preserve">No</t>
        </is>
      </c>
      <c r="T115" s="4"/>
      <c r="U115" s="0" t="inlineStr">
        <is>
          <t xml:space="preserve">RODOLFO JIMENEZ</t>
        </is>
      </c>
      <c r="V115" s="4" t="inlineStr">
        <is>
          <t xml:space="preserve">El Servicio de Salud Ñuble requiere efectuar la ADQUISICIÓN DE SOFTWARES HIS-ESB-BI Y ERP PARA EL NUEVO HOSPITAL REGIONAL DE ÑUBLE, de acuerdo a las Bases Administrativas adjuntas y sus respectivos Anexos.</t>
        </is>
      </c>
      <c r="W115" s="5" t="str">
        <f>HYPERLINK("https://www.mercadopublico.cl/Procurement/Modules/Attachment/ViewAttachment.aspx?enc=8TRwsDLltpdT7u3c6j52QCbcB0EQgiTXqetTGi1lIX5w4PwKiXidbOhiNzZMJDASbvVcED8wgH4fpwIaIc2geZdgYKGoTbbgsZfp%2fOArRhY4tQeC4lhecs%2b8aNvMuXDEFXBoEHPjuGPtm0veswIJSmin7YR7paFy3fSxS4BGBtj2ToFlDE7VBIyOMLxS62NiHvCK05SWlZp0KCclcB6CE%2b%2fAspqQbY4SX8LEbtCA5BzQi%2f%2fUc7vlkCAV1gtQgQ4FxBOgTi634DRYnsKMUmmHsGC%2b%2b0JNd7yk1R35fLG%2fqUfR52ZzqKV18ABrCqXsHXiH","descargar bases")</f>
      </c>
    </row>
    <row r="116">
      <c r="A116" s="0" t="inlineStr">
        <is>
          <t xml:space="preserve">1969-34-LS19</t>
        </is>
      </c>
      <c r="B116" s="4" t="inlineStr">
        <is>
          <t xml:space="preserve">AUTOMATIZACIÓN PORTÓN ACCESO A LINEA DE FUEGO</t>
        </is>
      </c>
      <c r="C116" s="0" t="inlineStr">
        <is>
          <t xml:space="preserve">Publicada</t>
        </is>
      </c>
      <c r="D116" s="0" t="inlineStr">
        <is>
          <t xml:space="preserve">DIRECCION GENERAL DE GENDARMERIA DE CHIL</t>
        </is>
      </c>
      <c r="E116" s="0" t="inlineStr">
        <is>
          <t xml:space="preserve">Región del Bio Bío</t>
        </is>
      </c>
      <c r="F116" s="0" t="inlineStr">
        <is>
          <t xml:space="preserve">Región del Biobío </t>
        </is>
      </c>
      <c r="G116" s="0" t="inlineStr">
        <is>
          <t xml:space="preserve">Concepción</t>
        </is>
      </c>
      <c r="H116" s="2">
        <v>43588.74809</v>
      </c>
      <c r="I116" s="2"/>
      <c r="J116" s="0"/>
      <c r="K116" s="3"/>
      <c r="L116" s="0" t="inlineStr">
        <is>
          <t xml:space="preserve">CLP</t>
        </is>
      </c>
      <c r="M116" s="0" t="inlineStr">
        <is>
          <t xml:space="preserve">LS</t>
        </is>
      </c>
      <c r="N116" s="4" t="inlineStr">
        <is>
          <t xml:space="preserve">Artículos para estructuras, obras y construcciones / Puertas, ventanas y vidrios / Puertas</t>
        </is>
      </c>
      <c r="O116" s="4" t="inlineStr">
        <is>
          <t xml:space="preserve">1 Unidad · Puertas de metal</t>
        </is>
      </c>
      <c r="P116" s="2"/>
      <c r="Q116" s="2"/>
      <c r="R116" s="0"/>
      <c r="S116" s="0" t="inlineStr">
        <is>
          <t xml:space="preserve">No</t>
        </is>
      </c>
      <c r="T116" s="4"/>
      <c r="U116" s="0" t="inlineStr">
        <is>
          <t xml:space="preserve">Héctor Polma Lillo</t>
        </is>
      </c>
      <c r="V116" s="4" t="inlineStr">
        <is>
          <t xml:space="preserve">AUTOMATIZACIÓN DE PORTÓN ACCESO A LINEA DE FUEGO C.P. CONCEPCIÓN</t>
        </is>
      </c>
      <c r="W116" s="5" t="str">
        <f>HYPERLINK("https://www.mercadopublico.cl/Procurement/Modules/Attachment/ViewAttachment.aspx?enc=SsSd1Rm8N4bLPrnWuZEjiZD3WAo%2bAx3WhYaV7LIjiZpXj3ECvK%2f3N98jMf18bKOLG40nXvrO9TTuR7Yv7XCdsJfjpqtG8fcBXlf3ryjosC55QTAdgj%2bQG3aBY9EfuslQquZJ3ozDJ%2bcoN3uZG1yXxbq8pEnJeNBw1y%2fmxdMN1D3r1RMBOACinIxqY37PW4E%2btlJY9QEvmxFYpGZ%2bwEXs6CI8TY%2bW60oHZv1vGvKJQbuusjjsRtEnUjrnHoYUKjdXAi4cD6ZecGqLnNhnawBfDlWRr72NQhLHcAoZBVT0Qw8QT0hFK2FeNXS1eVfFKuaS","descargar bases")</f>
      </c>
    </row>
  </sheetData>
  <autoFilter ref="A1:W116"/>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1153624-22-LE26</t>
        </is>
      </c>
      <c r="B2" s="4" t="inlineStr">
        <is>
          <t xml:space="preserve">Servicio enlace de datos de internet</t>
        </is>
      </c>
      <c r="C2" s="0">
        <v>1</v>
      </c>
      <c r="D2" s="4" t="inlineStr">
        <is>
          <t xml:space="preserve">Servicios de almacenamiento de datos</t>
        </is>
      </c>
      <c r="E2" s="4" t="inlineStr">
        <is>
          <t xml:space="preserve">Servicios basados en ingeniería, ciencias sociales y tecnología de la información / Servicios informáticos / Servicios de datos</t>
        </is>
      </c>
      <c r="F2" s="0">
        <v>1.0</v>
      </c>
      <c r="G2" s="0" t="inlineStr">
        <is>
          <t xml:space="preserve">Unidad</t>
        </is>
      </c>
      <c r="H2" s="4" t="inlineStr">
        <is>
          <t xml:space="preserve">Servicio enlace de datos de internet</t>
        </is>
      </c>
    </row>
    <row r="3">
      <c r="A3" s="0" t="inlineStr">
        <is>
          <t xml:space="preserve">2563-43-LP26</t>
        </is>
      </c>
      <c r="B3" s="4" t="inlineStr">
        <is>
          <t xml:space="preserve">Adquisición de cámaras IA y radares de seguridad</t>
        </is>
      </c>
      <c r="C3" s="0">
        <v>1</v>
      </c>
      <c r="D3" s="4" t="inlineStr">
        <is>
          <t xml:space="preserve">Cámaras de seguridad</t>
        </is>
      </c>
      <c r="E3" s="4" t="inlineStr">
        <is>
          <t xml:space="preserve">Equipos y suministros de defensa, orden público, protección y seguridad / Seguridad, vigilancia y detección / Equipo de vigilancia y detección</t>
        </is>
      </c>
      <c r="F3" s="0">
        <v>2.0</v>
      </c>
      <c r="G3" s="0" t="inlineStr">
        <is>
          <t xml:space="preserve">Unidad</t>
        </is>
      </c>
      <c r="H3"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4">
      <c r="A4" s="0" t="inlineStr">
        <is>
          <t xml:space="preserve">2563-43-LP26</t>
        </is>
      </c>
      <c r="B4" s="4" t="inlineStr">
        <is>
          <t xml:space="preserve">Adquisición de cámaras IA y radares de seguridad</t>
        </is>
      </c>
      <c r="C4" s="0">
        <v>2</v>
      </c>
      <c r="D4" s="4" t="inlineStr">
        <is>
          <t xml:space="preserve">Cámaras de seguridad</t>
        </is>
      </c>
      <c r="E4" s="4" t="inlineStr">
        <is>
          <t xml:space="preserve">Equipos y suministros de defensa, orden público, protección y seguridad / Seguridad, vigilancia y detección / Equipo de vigilancia y detección</t>
        </is>
      </c>
      <c r="F4" s="0">
        <v>2.0</v>
      </c>
      <c r="G4" s="0" t="inlineStr">
        <is>
          <t xml:space="preserve">Unidad</t>
        </is>
      </c>
      <c r="H4"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5">
      <c r="A5" s="0" t="inlineStr">
        <is>
          <t xml:space="preserve">2563-43-LP26</t>
        </is>
      </c>
      <c r="B5" s="4" t="inlineStr">
        <is>
          <t xml:space="preserve">Adquisición de cámaras IA y radares de seguridad</t>
        </is>
      </c>
      <c r="C5" s="0">
        <v>3</v>
      </c>
      <c r="D5" s="4" t="inlineStr">
        <is>
          <t xml:space="preserve">Cámaras de seguridad</t>
        </is>
      </c>
      <c r="E5" s="4" t="inlineStr">
        <is>
          <t xml:space="preserve">Equipos y suministros de defensa, orden público, protección y seguridad / Seguridad, vigilancia y detección / Equipo de vigilancia y detección</t>
        </is>
      </c>
      <c r="F5" s="0">
        <v>1.0</v>
      </c>
      <c r="G5" s="0" t="inlineStr">
        <is>
          <t xml:space="preserve">Unidad</t>
        </is>
      </c>
      <c r="H5" s="4" t="inlineStr">
        <is>
          <t xml:space="preserve">ítem 2: Servidor de gestión de video.</t>
        </is>
      </c>
    </row>
    <row r="6">
      <c r="A6" s="0" t="inlineStr">
        <is>
          <t xml:space="preserve">2563-43-LP26</t>
        </is>
      </c>
      <c r="B6" s="4" t="inlineStr">
        <is>
          <t xml:space="preserve">Adquisición de cámaras IA y radares de seguridad</t>
        </is>
      </c>
      <c r="C6" s="0">
        <v>4</v>
      </c>
      <c r="D6" s="4" t="inlineStr">
        <is>
          <t xml:space="preserve">Cámaras de seguridad</t>
        </is>
      </c>
      <c r="E6" s="4" t="inlineStr">
        <is>
          <t xml:space="preserve">Equipos y suministros de defensa, orden público, protección y seguridad / Seguridad, vigilancia y detección / Equipo de vigilancia y detección</t>
        </is>
      </c>
      <c r="F6" s="0">
        <v>2.0</v>
      </c>
      <c r="G6" s="0" t="inlineStr">
        <is>
          <t xml:space="preserve">Unidad</t>
        </is>
      </c>
      <c r="H6"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7">
      <c r="A7" s="0" t="inlineStr">
        <is>
          <t xml:space="preserve">2563-43-LP26</t>
        </is>
      </c>
      <c r="B7" s="4" t="inlineStr">
        <is>
          <t xml:space="preserve">Adquisición de cámaras IA y radares de seguridad</t>
        </is>
      </c>
      <c r="C7" s="0">
        <v>5</v>
      </c>
      <c r="D7" s="4" t="inlineStr">
        <is>
          <t xml:space="preserve">Cámaras de seguridad</t>
        </is>
      </c>
      <c r="E7" s="4" t="inlineStr">
        <is>
          <t xml:space="preserve">Equipos y suministros de defensa, orden público, protección y seguridad / Seguridad, vigilancia y detección / Equipo de vigilancia y detección</t>
        </is>
      </c>
      <c r="F7" s="0">
        <v>2.0</v>
      </c>
      <c r="G7" s="0" t="inlineStr">
        <is>
          <t xml:space="preserve">Unidad</t>
        </is>
      </c>
      <c r="H7"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8">
      <c r="A8" s="0" t="inlineStr">
        <is>
          <t xml:space="preserve">2563-43-LP26</t>
        </is>
      </c>
      <c r="B8" s="4" t="inlineStr">
        <is>
          <t xml:space="preserve">Adquisición de cámaras IA y radares de seguridad</t>
        </is>
      </c>
      <c r="C8" s="0">
        <v>6</v>
      </c>
      <c r="D8" s="4" t="inlineStr">
        <is>
          <t xml:space="preserve">Cámaras de seguridad</t>
        </is>
      </c>
      <c r="E8" s="4" t="inlineStr">
        <is>
          <t xml:space="preserve">Equipos y suministros de defensa, orden público, protección y seguridad / Seguridad, vigilancia y detección / Equipo de vigilancia y detección</t>
        </is>
      </c>
      <c r="F8" s="0">
        <v>6.0</v>
      </c>
      <c r="G8" s="0" t="inlineStr">
        <is>
          <t xml:space="preserve">Unidad</t>
        </is>
      </c>
      <c r="H8"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9">
      <c r="A9" s="0" t="inlineStr">
        <is>
          <t xml:space="preserve">2563-43-LP26</t>
        </is>
      </c>
      <c r="B9" s="4" t="inlineStr">
        <is>
          <t xml:space="preserve">Adquisición de cámaras IA y radares de seguridad</t>
        </is>
      </c>
      <c r="C9" s="0">
        <v>7</v>
      </c>
      <c r="D9" s="4" t="inlineStr">
        <is>
          <t xml:space="preserve">Cámaras de seguridad</t>
        </is>
      </c>
      <c r="E9" s="4" t="inlineStr">
        <is>
          <t xml:space="preserve">Equipos y suministros de defensa, orden público, protección y seguridad / Seguridad, vigilancia y detección / Equipo de vigilancia y detección</t>
        </is>
      </c>
      <c r="F9" s="0">
        <v>6.0</v>
      </c>
      <c r="G9" s="0" t="inlineStr">
        <is>
          <t xml:space="preserve">Unidad</t>
        </is>
      </c>
      <c r="H9"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0">
      <c r="A10" s="0" t="inlineStr">
        <is>
          <t xml:space="preserve">2563-43-LP26</t>
        </is>
      </c>
      <c r="B10" s="4" t="inlineStr">
        <is>
          <t xml:space="preserve">Adquisición de cámaras IA y radares de seguridad</t>
        </is>
      </c>
      <c r="C10" s="0">
        <v>8</v>
      </c>
      <c r="D10" s="4" t="inlineStr">
        <is>
          <t xml:space="preserve">Cámaras de seguridad</t>
        </is>
      </c>
      <c r="E10" s="4" t="inlineStr">
        <is>
          <t xml:space="preserve">Equipos y suministros de defensa, orden público, protección y seguridad / Seguridad, vigilancia y detección / Equipo de vigilancia y detección</t>
        </is>
      </c>
      <c r="F10" s="0">
        <v>1.0</v>
      </c>
      <c r="G10" s="0" t="inlineStr">
        <is>
          <t xml:space="preserve">Unidad</t>
        </is>
      </c>
      <c r="H10"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1">
      <c r="A11" s="0" t="inlineStr">
        <is>
          <t xml:space="preserve">2563-43-LP26</t>
        </is>
      </c>
      <c r="B11" s="4" t="inlineStr">
        <is>
          <t xml:space="preserve">Adquisición de cámaras IA y radares de seguridad</t>
        </is>
      </c>
      <c r="C11" s="0">
        <v>9</v>
      </c>
      <c r="D11" s="4" t="inlineStr">
        <is>
          <t xml:space="preserve">Cámaras de seguridad</t>
        </is>
      </c>
      <c r="E11" s="4" t="inlineStr">
        <is>
          <t xml:space="preserve">Equipos y suministros de defensa, orden público, protección y seguridad / Seguridad, vigilancia y detección / Equipo de vigilancia y detección</t>
        </is>
      </c>
      <c r="F11" s="0">
        <v>8.0</v>
      </c>
      <c r="G11" s="0" t="inlineStr">
        <is>
          <t xml:space="preserve">Unidad</t>
        </is>
      </c>
      <c r="H11"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2">
      <c r="A12" s="0" t="inlineStr">
        <is>
          <t xml:space="preserve">2563-43-LP26</t>
        </is>
      </c>
      <c r="B12" s="4" t="inlineStr">
        <is>
          <t xml:space="preserve">Adquisición de cámaras IA y radares de seguridad</t>
        </is>
      </c>
      <c r="C12" s="0">
        <v>10</v>
      </c>
      <c r="D12" s="4" t="inlineStr">
        <is>
          <t xml:space="preserve">Cámaras de seguridad</t>
        </is>
      </c>
      <c r="E12" s="4" t="inlineStr">
        <is>
          <t xml:space="preserve">Equipos y suministros de defensa, orden público, protección y seguridad / Seguridad, vigilancia y detección / Equipo de vigilancia y detección</t>
        </is>
      </c>
      <c r="F12" s="0">
        <v>1.0</v>
      </c>
      <c r="G12" s="0" t="inlineStr">
        <is>
          <t xml:space="preserve">Unidad</t>
        </is>
      </c>
      <c r="H12"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3">
      <c r="A13" s="0" t="inlineStr">
        <is>
          <t xml:space="preserve">2563-43-LP26</t>
        </is>
      </c>
      <c r="B13" s="4" t="inlineStr">
        <is>
          <t xml:space="preserve">Adquisición de cámaras IA y radares de seguridad</t>
        </is>
      </c>
      <c r="C13" s="0">
        <v>11</v>
      </c>
      <c r="D13" s="4" t="inlineStr">
        <is>
          <t xml:space="preserve">Cámaras de seguridad</t>
        </is>
      </c>
      <c r="E13" s="4" t="inlineStr">
        <is>
          <t xml:space="preserve">Equipos y suministros de defensa, orden público, protección y seguridad / Seguridad, vigilancia y detección / Equipo de vigilancia y detección</t>
        </is>
      </c>
      <c r="F13" s="0">
        <v>1.0</v>
      </c>
      <c r="G13" s="0" t="inlineStr">
        <is>
          <t xml:space="preserve">Unidad</t>
        </is>
      </c>
      <c r="H13"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4">
      <c r="A14" s="0" t="inlineStr">
        <is>
          <t xml:space="preserve">2563-43-LP26</t>
        </is>
      </c>
      <c r="B14" s="4" t="inlineStr">
        <is>
          <t xml:space="preserve">Adquisición de cámaras IA y radares de seguridad</t>
        </is>
      </c>
      <c r="C14" s="0">
        <v>12</v>
      </c>
      <c r="D14" s="4" t="inlineStr">
        <is>
          <t xml:space="preserve">Cámaras de seguridad</t>
        </is>
      </c>
      <c r="E14" s="4" t="inlineStr">
        <is>
          <t xml:space="preserve">Equipos y suministros de defensa, orden público, protección y seguridad / Seguridad, vigilancia y detección / Equipo de vigilancia y detección</t>
        </is>
      </c>
      <c r="F14" s="0">
        <v>2.0</v>
      </c>
      <c r="G14" s="0" t="inlineStr">
        <is>
          <t xml:space="preserve">Unidad</t>
        </is>
      </c>
      <c r="H14"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5">
      <c r="A15" s="0" t="inlineStr">
        <is>
          <t xml:space="preserve">2563-43-LP26</t>
        </is>
      </c>
      <c r="B15" s="4" t="inlineStr">
        <is>
          <t xml:space="preserve">Adquisición de cámaras IA y radares de seguridad</t>
        </is>
      </c>
      <c r="C15" s="0">
        <v>13</v>
      </c>
      <c r="D15" s="4" t="inlineStr">
        <is>
          <t xml:space="preserve">Cámaras de seguridad</t>
        </is>
      </c>
      <c r="E15" s="4" t="inlineStr">
        <is>
          <t xml:space="preserve">Equipos y suministros de defensa, orden público, protección y seguridad / Seguridad, vigilancia y detección / Equipo de vigilancia y detección</t>
        </is>
      </c>
      <c r="F15" s="0">
        <v>2.0</v>
      </c>
      <c r="G15" s="0" t="inlineStr">
        <is>
          <t xml:space="preserve">Unidad</t>
        </is>
      </c>
      <c r="H15"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6">
      <c r="A16" s="0" t="inlineStr">
        <is>
          <t xml:space="preserve">2563-43-LP26</t>
        </is>
      </c>
      <c r="B16" s="4" t="inlineStr">
        <is>
          <t xml:space="preserve">Adquisición de cámaras IA y radares de seguridad</t>
        </is>
      </c>
      <c r="C16" s="0">
        <v>14</v>
      </c>
      <c r="D16" s="4" t="inlineStr">
        <is>
          <t xml:space="preserve">Cámaras de seguridad</t>
        </is>
      </c>
      <c r="E16" s="4" t="inlineStr">
        <is>
          <t xml:space="preserve">Equipos y suministros de defensa, orden público, protección y seguridad / Seguridad, vigilancia y detección / Equipo de vigilancia y detección</t>
        </is>
      </c>
      <c r="F16" s="0">
        <v>2.0</v>
      </c>
      <c r="G16" s="0" t="inlineStr">
        <is>
          <t xml:space="preserve">Unidad</t>
        </is>
      </c>
      <c r="H16"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7">
      <c r="A17" s="0" t="inlineStr">
        <is>
          <t xml:space="preserve">2563-43-LP26</t>
        </is>
      </c>
      <c r="B17" s="4" t="inlineStr">
        <is>
          <t xml:space="preserve">Adquisición de cámaras IA y radares de seguridad</t>
        </is>
      </c>
      <c r="C17" s="0">
        <v>15</v>
      </c>
      <c r="D17" s="4" t="inlineStr">
        <is>
          <t xml:space="preserve">Cámaras de seguridad</t>
        </is>
      </c>
      <c r="E17" s="4" t="inlineStr">
        <is>
          <t xml:space="preserve">Equipos y suministros de defensa, orden público, protección y seguridad / Seguridad, vigilancia y detección / Equipo de vigilancia y detección</t>
        </is>
      </c>
      <c r="F17" s="0">
        <v>1.0</v>
      </c>
      <c r="G17" s="0" t="inlineStr">
        <is>
          <t xml:space="preserve">Unidad</t>
        </is>
      </c>
      <c r="H17"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8">
      <c r="A18" s="0" t="inlineStr">
        <is>
          <t xml:space="preserve">3000-34-LE26</t>
        </is>
      </c>
      <c r="B18" s="4" t="inlineStr">
        <is>
          <t xml:space="preserve">Relojes Control de Asistencia Software de Gestión</t>
        </is>
      </c>
      <c r="C18" s="0">
        <v>1</v>
      </c>
      <c r="D18" s="4" t="inlineStr">
        <is>
          <t xml:space="preserve">Reloj de control</t>
        </is>
      </c>
      <c r="E18" s="4" t="inlineStr">
        <is>
          <t xml:space="preserve">Equipos, accesorios y suministros de oficina / Maquinarias, suministros y accesorios de oficina / Máquinas y accesorios para registro de hora y asistencia en la oficina</t>
        </is>
      </c>
      <c r="F18" s="0">
        <v>20.0</v>
      </c>
      <c r="G18" s="0" t="inlineStr">
        <is>
          <t xml:space="preserve">Unidad</t>
        </is>
      </c>
      <c r="H18" s="4" t="inlineStr">
        <is>
          <t xml:space="preserve">Reloj Control de Asistencia Municipal, según lo indicado en Bases y TTR e Licitación</t>
        </is>
      </c>
    </row>
    <row r="19">
      <c r="A19" s="0" t="inlineStr">
        <is>
          <t xml:space="preserve">3000-34-LE26</t>
        </is>
      </c>
      <c r="B19" s="4" t="inlineStr">
        <is>
          <t xml:space="preserve">Relojes Control de Asistencia Software de Gestión</t>
        </is>
      </c>
      <c r="C19" s="0">
        <v>2</v>
      </c>
      <c r="D19" s="4" t="inlineStr">
        <is>
          <t xml:space="preserve">Reloj de control</t>
        </is>
      </c>
      <c r="E19" s="4" t="inlineStr">
        <is>
          <t xml:space="preserve">Equipos, accesorios y suministros de oficina / Maquinarias, suministros y accesorios de oficina / Máquinas y accesorios para registro de hora y asistencia en la oficina</t>
        </is>
      </c>
      <c r="F19" s="0">
        <v>1.0</v>
      </c>
      <c r="G19" s="0" t="inlineStr">
        <is>
          <t xml:space="preserve">Global</t>
        </is>
      </c>
      <c r="H19" s="4" t="inlineStr">
        <is>
          <t xml:space="preserve">Software de Reloj Control de Asistencia Municipal, según lo indicado en Bases y TTR e Licitación</t>
        </is>
      </c>
    </row>
    <row r="20">
      <c r="A20" s="0" t="inlineStr">
        <is>
          <t xml:space="preserve">3000-34-LE26</t>
        </is>
      </c>
      <c r="B20" s="4" t="inlineStr">
        <is>
          <t xml:space="preserve">Relojes Control de Asistencia Software de Gestión</t>
        </is>
      </c>
      <c r="C20" s="0">
        <v>3</v>
      </c>
      <c r="D20" s="4" t="inlineStr">
        <is>
          <t xml:space="preserve">Reloj de control</t>
        </is>
      </c>
      <c r="E20" s="4" t="inlineStr">
        <is>
          <t xml:space="preserve">Equipos, accesorios y suministros de oficina / Maquinarias, suministros y accesorios de oficina / Máquinas y accesorios para registro de hora y asistencia en la oficina</t>
        </is>
      </c>
      <c r="F20" s="0">
        <v>1.0</v>
      </c>
      <c r="G20" s="0" t="inlineStr">
        <is>
          <t xml:space="preserve">Unidad</t>
        </is>
      </c>
      <c r="H20" s="4" t="inlineStr">
        <is>
          <t xml:space="preserve">Capacitación Software y Reloj Control de Asistencia Municipal, según lo indicado en Bases y TTR e Licitación</t>
        </is>
      </c>
    </row>
    <row r="21">
      <c r="A21" s="0" t="inlineStr">
        <is>
          <t xml:space="preserve">3000-34-LE26</t>
        </is>
      </c>
      <c r="B21" s="4" t="inlineStr">
        <is>
          <t xml:space="preserve">Relojes Control de Asistencia Software de Gestión</t>
        </is>
      </c>
      <c r="C21" s="0">
        <v>4</v>
      </c>
      <c r="D21" s="4" t="inlineStr">
        <is>
          <t xml:space="preserve">Reloj de control</t>
        </is>
      </c>
      <c r="E21" s="4" t="inlineStr">
        <is>
          <t xml:space="preserve">Equipos, accesorios y suministros de oficina / Maquinarias, suministros y accesorios de oficina / Máquinas y accesorios para registro de hora y asistencia en la oficina</t>
        </is>
      </c>
      <c r="F21" s="0">
        <v>6.0</v>
      </c>
      <c r="G21" s="0" t="inlineStr">
        <is>
          <t xml:space="preserve">Unidad</t>
        </is>
      </c>
      <c r="H21" s="4" t="inlineStr">
        <is>
          <t xml:space="preserve">Reloj Control de Asistencia Dpto. Salud, según lo indicado en Bases y TTR e Licitación</t>
        </is>
      </c>
    </row>
    <row r="22">
      <c r="A22" s="0" t="inlineStr">
        <is>
          <t xml:space="preserve">3000-34-LE26</t>
        </is>
      </c>
      <c r="B22" s="4" t="inlineStr">
        <is>
          <t xml:space="preserve">Relojes Control de Asistencia Software de Gestión</t>
        </is>
      </c>
      <c r="C22" s="0">
        <v>5</v>
      </c>
      <c r="D22" s="4" t="inlineStr">
        <is>
          <t xml:space="preserve">Reloj de control</t>
        </is>
      </c>
      <c r="E22" s="4" t="inlineStr">
        <is>
          <t xml:space="preserve">Equipos, accesorios y suministros de oficina / Maquinarias, suministros y accesorios de oficina / Máquinas y accesorios para registro de hora y asistencia en la oficina</t>
        </is>
      </c>
      <c r="F22" s="0">
        <v>1.0</v>
      </c>
      <c r="G22" s="0" t="inlineStr">
        <is>
          <t xml:space="preserve">Global</t>
        </is>
      </c>
      <c r="H22" s="4" t="inlineStr">
        <is>
          <t xml:space="preserve">Software de Reloj Control de Asistencia Dpto. Salud, según lo indicado en Bases y TTR e Licitación</t>
        </is>
      </c>
    </row>
    <row r="23">
      <c r="A23" s="0" t="inlineStr">
        <is>
          <t xml:space="preserve">3000-34-LE26</t>
        </is>
      </c>
      <c r="B23" s="4" t="inlineStr">
        <is>
          <t xml:space="preserve">Relojes Control de Asistencia Software de Gestión</t>
        </is>
      </c>
      <c r="C23" s="0">
        <v>6</v>
      </c>
      <c r="D23" s="4" t="inlineStr">
        <is>
          <t xml:space="preserve">Reloj de control</t>
        </is>
      </c>
      <c r="E23" s="4" t="inlineStr">
        <is>
          <t xml:space="preserve">Equipos, accesorios y suministros de oficina / Maquinarias, suministros y accesorios de oficina / Máquinas y accesorios para registro de hora y asistencia en la oficina</t>
        </is>
      </c>
      <c r="F23" s="0">
        <v>1.0</v>
      </c>
      <c r="G23" s="0" t="inlineStr">
        <is>
          <t xml:space="preserve">Unidad</t>
        </is>
      </c>
      <c r="H23" s="4" t="inlineStr">
        <is>
          <t xml:space="preserve">Capacitación Software y Reloj Control de Asistencia Dpto. Salud, según lo indicado en Bases y TTR e Licitación</t>
        </is>
      </c>
    </row>
    <row r="24">
      <c r="A24" s="0" t="inlineStr">
        <is>
          <t xml:space="preserve">869591-12-LP26</t>
        </is>
      </c>
      <c r="B24" s="4" t="inlineStr">
        <is>
          <t xml:space="preserve">CONTRATACIÓN DE PLATAFORMA DE GESTIÓN DOCUMENTAL EXPEDIENTE ELECTRÓNICO Y GESTIÓN DE PROCESOS</t>
        </is>
      </c>
      <c r="C24" s="0">
        <v>1</v>
      </c>
      <c r="D24" s="4" t="inlineStr">
        <is>
          <t xml:space="preserve">Programas de gestión de documentos</t>
        </is>
      </c>
      <c r="E24" s="4" t="inlineStr">
        <is>
          <t xml:space="preserve">Tecnologías de la información, telecomunicaciones y radiodifusión / Software / Software de gestión de contenidos</t>
        </is>
      </c>
      <c r="F24" s="0">
        <v>1.0</v>
      </c>
      <c r="G24" s="0" t="inlineStr">
        <is>
          <t xml:space="preserve">Unidad</t>
        </is>
      </c>
      <c r="H24" s="4" t="inlineStr">
        <is>
          <t xml:space="preserve">CONTRATACIÓN DE PLATAFORMA DE GESTIÓN DOCUMENTAL, EXPEDIENTE ELECTRÓNICO Y GESTIÓN DE PROCESOS PARA LA DIRECCIÓN DE COMPRAS Y CONTRATACIÓN PÚBLICA</t>
        </is>
      </c>
    </row>
    <row r="25">
      <c r="A25" s="0" t="inlineStr">
        <is>
          <t xml:space="preserve">514862-125-LR26</t>
        </is>
      </c>
      <c r="B25" s="4" t="inlineStr">
        <is>
          <t xml:space="preserve">10032938 PLATAFORMA DE AGENDAMIENTO TELECONSULTAS</t>
        </is>
      </c>
      <c r="C25" s="0">
        <v>1</v>
      </c>
      <c r="D25" s="4" t="inlineStr">
        <is>
          <t xml:space="preserve">Servicios de transformación de datos</t>
        </is>
      </c>
      <c r="E25" s="4" t="inlineStr">
        <is>
          <t xml:space="preserve">Servicios basados en ingeniería, ciencias sociales y tecnología de la información / Servicios informáticos / Servicios de datos</t>
        </is>
      </c>
      <c r="F25" s="0">
        <v>1.0</v>
      </c>
      <c r="G25" s="0" t="inlineStr">
        <is>
          <t xml:space="preserve">Unidad</t>
        </is>
      </c>
      <c r="H25" s="4" t="inlineStr">
        <is>
          <t xml:space="preserve">PLATAFORMA INTEGRAL DE AGENDAMIENTO, TELECONSULTAS Y GESTIÓN DE FILAS PARA LA ATENCIÓN</t>
        </is>
      </c>
    </row>
    <row r="26">
      <c r="A26" s="0" t="inlineStr">
        <is>
          <t xml:space="preserve">1218393-49-LE26</t>
        </is>
      </c>
      <c r="B26" s="4" t="inlineStr">
        <is>
          <t xml:space="preserve">Convenio suministro de servicios de fotocopiado impresión y digitalización con arriendo de equipos para CESFAM Externo Valdivia</t>
        </is>
      </c>
      <c r="C26" s="0">
        <v>1</v>
      </c>
      <c r="D26" s="4" t="inlineStr">
        <is>
          <t xml:space="preserve">Servicios de copias en blanco y negro</t>
        </is>
      </c>
      <c r="E26" s="4" t="inlineStr">
        <is>
          <t xml:space="preserve">Servicios editoriales, de diseño, publicidad, gráficos y artistas / Servicios de impresión y reproducción / Fotocopiado</t>
        </is>
      </c>
      <c r="F26" s="0">
        <v>1.0</v>
      </c>
      <c r="G26" s="0" t="inlineStr">
        <is>
          <t xml:space="preserve">Unidad</t>
        </is>
      </c>
      <c r="H26" s="4" t="inlineStr">
        <is>
          <t xml:space="preserve">Servicio de fotocopiado, impresión y digitalización con arriendo de equipos para el establecimiento y sus dependencia por 12 meses según requerimiento en Resolución exenta n°894 del 08.10.2026
Indicar valor mensual.</t>
        </is>
      </c>
    </row>
    <row r="27">
      <c r="A27" s="0" t="inlineStr">
        <is>
          <t xml:space="preserve">4589-20-LE26</t>
        </is>
      </c>
      <c r="B27" s="4" t="inlineStr">
        <is>
          <t xml:space="preserve">CONTRATACION PARA SOPORTE DE MANTENCION Y CAPACITACION DE PLATAFORMA SIFIM PARA ILUSTRE MUNICIPALIDAD DE TORRES DEL PAINE GESTION AREA MUNICIPAL Y SALUD</t>
        </is>
      </c>
      <c r="C27" s="0">
        <v>1</v>
      </c>
      <c r="D27" s="4" t="inlineStr">
        <is>
          <t xml:space="preserve">Programas de análisis financiero</t>
        </is>
      </c>
      <c r="E27" s="4" t="inlineStr">
        <is>
          <t xml:space="preserve">Tecnologías de la información, telecomunicaciones y radiodifusión / Software / Software de planificación de recursos empresariales (ERP) y contabilidad financiera</t>
        </is>
      </c>
      <c r="F27" s="0">
        <v>1.0</v>
      </c>
      <c r="G27" s="0" t="inlineStr">
        <is>
          <t xml:space="preserve">Unidad</t>
        </is>
      </c>
      <c r="H27"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28">
      <c r="A28" s="0" t="inlineStr">
        <is>
          <t xml:space="preserve">1057549-8-LE26</t>
        </is>
      </c>
      <c r="B28" s="4" t="inlineStr">
        <is>
          <t xml:space="preserve">CONVENIO FOTOCOPIADO IMPRESIÓN Y DIGITALIZACIÓN</t>
        </is>
      </c>
      <c r="C28" s="0">
        <v>1</v>
      </c>
      <c r="D28" s="4" t="inlineStr">
        <is>
          <t xml:space="preserve">Impresión digital</t>
        </is>
      </c>
      <c r="E28" s="4" t="inlineStr">
        <is>
          <t xml:space="preserve">Servicios editoriales, de diseño, publicidad, gráficos y artistas / Servicios de impresión y reproducción / Impresión</t>
        </is>
      </c>
      <c r="F28" s="0">
        <v>1.0</v>
      </c>
      <c r="G28" s="0" t="inlineStr">
        <is>
          <t xml:space="preserve">Unidad</t>
        </is>
      </c>
      <c r="H28" s="4" t="inlineStr">
        <is>
          <t xml:space="preserve">Servicio de Fotocopiado, Impresión y Digitalización con entrega de Equipos</t>
        </is>
      </c>
    </row>
    <row r="29">
      <c r="A29" s="0" t="inlineStr">
        <is>
          <t xml:space="preserve">1057503-146-LE26</t>
        </is>
      </c>
      <c r="B29" s="4" t="inlineStr">
        <is>
          <t xml:space="preserve">Contratación de Solución Tecnológica Bajo Modalidad SaaS para Automatizar Procesos de Gestión Estratégica Institucional para el Hospital Padre Alberto Hurtado</t>
        </is>
      </c>
      <c r="C29" s="0">
        <v>1</v>
      </c>
      <c r="D29" s="4" t="inlineStr">
        <is>
          <t xml:space="preserve">Software de administración</t>
        </is>
      </c>
      <c r="E29" s="4" t="inlineStr">
        <is>
          <t xml:space="preserve">Tecnologías de la información, telecomunicaciones y radiodifusión / Software / Software de administración de redes</t>
        </is>
      </c>
      <c r="F29" s="0">
        <v>1.0</v>
      </c>
      <c r="G29" s="0" t="inlineStr">
        <is>
          <t xml:space="preserve">Unidad</t>
        </is>
      </c>
      <c r="H29" s="4" t="inlineStr">
        <is>
          <t xml:space="preserve">Plataforma Tecnológica en Modalidad SaaS destinada a Automatizar y Fortalecer los Procesos de Gestión Estratégica Institucional, Según Formulario N° 1.</t>
        </is>
      </c>
    </row>
    <row r="30">
      <c r="A30" s="0" t="inlineStr">
        <is>
          <t xml:space="preserve">425-65-LR26</t>
        </is>
      </c>
      <c r="B30" s="4" t="inlineStr">
        <is>
          <t xml:space="preserve">Renovación de licencias y servicio de administración de software Falcon Crowdstrike EDR para el Poder Judicial</t>
        </is>
      </c>
      <c r="C30" s="0">
        <v>1</v>
      </c>
      <c r="D30" s="4" t="inlineStr">
        <is>
          <t xml:space="preserve">Software de gestión de licencias</t>
        </is>
      </c>
      <c r="E30" s="4" t="inlineStr">
        <is>
          <t xml:space="preserve">Tecnologías de la información, telecomunicaciones y radiodifusión / Software / Software de gestión</t>
        </is>
      </c>
      <c r="F30" s="0">
        <v>1.0</v>
      </c>
      <c r="G30" s="0" t="inlineStr">
        <is>
          <t xml:space="preserve">Global</t>
        </is>
      </c>
      <c r="H30" s="4" t="inlineStr">
        <is>
          <t xml:space="preserve">Ítem 4 LICENCIAS FALCON CROWDSTRIKE EDR. Valor total neto del ítem según Formulario Económico N°1 (en caso de discrepancia entre el valor del portal y el formulario primará este último).</t>
        </is>
      </c>
    </row>
    <row r="31">
      <c r="A31" s="0" t="inlineStr">
        <is>
          <t xml:space="preserve">425-65-LR26</t>
        </is>
      </c>
      <c r="B31" s="4" t="inlineStr">
        <is>
          <t xml:space="preserve">Renovación de licencias y servicio de administración de software Falcon Crowdstrike EDR para el Poder Judicial</t>
        </is>
      </c>
      <c r="C31" s="0">
        <v>2</v>
      </c>
      <c r="D31" s="4" t="inlineStr">
        <is>
          <t xml:space="preserve">Software de gestión de licencias</t>
        </is>
      </c>
      <c r="E31" s="4" t="inlineStr">
        <is>
          <t xml:space="preserve">Tecnologías de la información, telecomunicaciones y radiodifusión / Software / Software de gestión</t>
        </is>
      </c>
      <c r="F31" s="0">
        <v>1.0</v>
      </c>
      <c r="G31" s="0" t="inlineStr">
        <is>
          <t xml:space="preserve">Global</t>
        </is>
      </c>
      <c r="H31" s="4" t="inlineStr">
        <is>
          <t xml:space="preserve">Ítem 1 LICENCIAS FALCON CROWDSTRIKE EDR. Valor total neto del ítem según Formulario Económico N°1 (en caso de discrepancia entre el valor del portal y el formulario primará este último).</t>
        </is>
      </c>
    </row>
    <row r="32">
      <c r="A32" s="0" t="inlineStr">
        <is>
          <t xml:space="preserve">425-65-LR26</t>
        </is>
      </c>
      <c r="B32" s="4" t="inlineStr">
        <is>
          <t xml:space="preserve">Renovación de licencias y servicio de administración de software Falcon Crowdstrike EDR para el Poder Judicial</t>
        </is>
      </c>
      <c r="C32" s="0">
        <v>3</v>
      </c>
      <c r="D32" s="4" t="inlineStr">
        <is>
          <t xml:space="preserve">Software de gestión de licencias</t>
        </is>
      </c>
      <c r="E32" s="4" t="inlineStr">
        <is>
          <t xml:space="preserve">Tecnologías de la información, telecomunicaciones y radiodifusión / Software / Software de gestión</t>
        </is>
      </c>
      <c r="F32" s="0">
        <v>1.0</v>
      </c>
      <c r="G32" s="0" t="inlineStr">
        <is>
          <t xml:space="preserve">Global</t>
        </is>
      </c>
      <c r="H32" s="4" t="inlineStr">
        <is>
          <t xml:space="preserve">Ítem 2 LICENCIAS FALCON CROWDSTRIKE EDR. Valor total neto del ítem según Formulario Económico N°1 (en caso de discrepancia entre el valor del portal y el formulario primará este último).</t>
        </is>
      </c>
    </row>
    <row r="33">
      <c r="A33" s="0" t="inlineStr">
        <is>
          <t xml:space="preserve">425-65-LR26</t>
        </is>
      </c>
      <c r="B33" s="4" t="inlineStr">
        <is>
          <t xml:space="preserve">Renovación de licencias y servicio de administración de software Falcon Crowdstrike EDR para el Poder Judicial</t>
        </is>
      </c>
      <c r="C33" s="0">
        <v>4</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Global</t>
        </is>
      </c>
      <c r="H33" s="4" t="inlineStr">
        <is>
          <t xml:space="preserve">Ítem 3 LICENCIAS FALCON CROWDSTRIKE EDR. Valor total neto del ítem según Formulario Económico N°1 (en caso de discrepancia entre el valor del portal y el formulario primará este último).</t>
        </is>
      </c>
    </row>
    <row r="34">
      <c r="A34" s="0" t="inlineStr">
        <is>
          <t xml:space="preserve">425-65-LR26</t>
        </is>
      </c>
      <c r="B34" s="4" t="inlineStr">
        <is>
          <t xml:space="preserve">Renovación de licencias y servicio de administración de software Falcon Crowdstrike EDR para el Poder Judicial</t>
        </is>
      </c>
      <c r="C34" s="0">
        <v>5</v>
      </c>
      <c r="D34" s="4" t="inlineStr">
        <is>
          <t xml:space="preserve">Software de gestión de licencias</t>
        </is>
      </c>
      <c r="E34" s="4" t="inlineStr">
        <is>
          <t xml:space="preserve">Tecnologías de la información, telecomunicaciones y radiodifusión / Software / Software de gestión</t>
        </is>
      </c>
      <c r="F34" s="0">
        <v>1.0</v>
      </c>
      <c r="G34" s="0" t="inlineStr">
        <is>
          <t xml:space="preserve">Global</t>
        </is>
      </c>
      <c r="H34" s="4" t="inlineStr">
        <is>
          <t xml:space="preserve">Ítem 5 Servicios de Administración
Falcon Crowdstrike. Valor total neto del ítem según Formulario Económico N°1 (en caso de discrepancia entre el valor del portal y el formulario primará este último).</t>
        </is>
      </c>
    </row>
    <row r="35">
      <c r="A35" s="0" t="inlineStr">
        <is>
          <t xml:space="preserve">1375758-7-LE26</t>
        </is>
      </c>
      <c r="B35" s="4" t="inlineStr">
        <is>
          <t xml:space="preserve">PLATAFORMA INTEGRAL PARA LA PLANIFICACIÓN CONTROL DE DOTACIÓN ESCOLAR Y GESTIÓN DE SOLICITUDES DE CONTRATACIÓN</t>
        </is>
      </c>
      <c r="C35" s="0">
        <v>1</v>
      </c>
      <c r="D35" s="4" t="inlineStr">
        <is>
          <t xml:space="preserve">Desarrollo de Aplicaciones de Recursos Empresariales (ERP)</t>
        </is>
      </c>
      <c r="E35" s="4" t="inlineStr">
        <is>
          <t xml:space="preserve">Servicios basados en ingeniería, ciencias sociales y tecnología de la información / Servicios informáticos / Ingeniería en computación e informática</t>
        </is>
      </c>
      <c r="F35" s="0">
        <v>24.0</v>
      </c>
      <c r="G35" s="0" t="inlineStr">
        <is>
          <t xml:space="preserve">Mes</t>
        </is>
      </c>
      <c r="H35" s="4" t="inlineStr">
        <is>
          <t xml:space="preserve">CONTRATACIÓN DE “PLATAFORMA INTEGRAL PARA LA PLANIFICACIÓN, CONTROL DE DOTACIÓN ESCOLAR Y GESTIÓN DE SOLICITUDES DE CONTRATACIÓN DEL SLEP SANTIAGO CENTRO”</t>
        </is>
      </c>
    </row>
    <row r="36">
      <c r="A36" s="0" t="inlineStr">
        <is>
          <t xml:space="preserve">2548-94-CO26</t>
        </is>
      </c>
      <c r="B36" s="4" t="inlineStr">
        <is>
          <t xml:space="preserve">PROVISIÓN DE AUDÍFONOS RETROAURICULARES DIGITALES</t>
        </is>
      </c>
      <c r="C36" s="0">
        <v>1</v>
      </c>
      <c r="D36" s="4" t="inlineStr">
        <is>
          <t xml:space="preserve">Audífonos para personas con discapacidad física</t>
        </is>
      </c>
      <c r="E36" s="4" t="inlineStr">
        <is>
          <t xml:space="preserve">Equipamiento y suministros médicos / Ayuda para personas con discapacidad / Artículos de ayuda para la comunicación de discapacitados</t>
        </is>
      </c>
      <c r="F36" s="0">
        <v>1.0</v>
      </c>
      <c r="G36" s="0" t="inlineStr">
        <is>
          <t xml:space="preserve">Unidad</t>
        </is>
      </c>
      <c r="H36" s="4" t="inlineStr">
        <is>
          <t xml:space="preserve">AUDÍFONOS RETROAURICULARES DIGITALES</t>
        </is>
      </c>
    </row>
    <row r="37">
      <c r="A37" s="0" t="inlineStr">
        <is>
          <t xml:space="preserve">1375757-32-LP26</t>
        </is>
      </c>
      <c r="B37" s="4" t="inlineStr">
        <is>
          <t xml:space="preserve">LICENCIAS DE SOFTWARE PARA SLEP DE PUELCHE</t>
        </is>
      </c>
      <c r="C37" s="0">
        <v>1</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Global</t>
        </is>
      </c>
      <c r="H37" s="4" t="inlineStr">
        <is>
          <t xml:space="preserve">Autodesk AutoCAD LT</t>
        </is>
      </c>
    </row>
    <row r="38">
      <c r="A38" s="0" t="inlineStr">
        <is>
          <t xml:space="preserve">1375757-32-LP26</t>
        </is>
      </c>
      <c r="B38" s="4" t="inlineStr">
        <is>
          <t xml:space="preserve">LICENCIAS DE SOFTWARE PARA SLEP DE PUELCHE</t>
        </is>
      </c>
      <c r="C38" s="0">
        <v>2</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Global</t>
        </is>
      </c>
      <c r="H38" s="4" t="inlineStr">
        <is>
          <t xml:space="preserve">AutoCAD - including specialized toolsets (versión completa)</t>
        </is>
      </c>
    </row>
    <row r="39">
      <c r="A39" s="0" t="inlineStr">
        <is>
          <t xml:space="preserve">1375757-32-LP26</t>
        </is>
      </c>
      <c r="B39" s="4" t="inlineStr">
        <is>
          <t xml:space="preserve">LICENCIAS DE SOFTWARE PARA SLEP DE PUELCHE</t>
        </is>
      </c>
      <c r="C39" s="0">
        <v>3</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Global</t>
        </is>
      </c>
      <c r="H39" s="4" t="inlineStr">
        <is>
          <t xml:space="preserve">Autodesk Revit o similar o superior</t>
        </is>
      </c>
    </row>
    <row r="40">
      <c r="A40" s="0" t="inlineStr">
        <is>
          <t xml:space="preserve">1375757-32-LP26</t>
        </is>
      </c>
      <c r="B40" s="4" t="inlineStr">
        <is>
          <t xml:space="preserve">LICENCIAS DE SOFTWARE PARA SLEP DE PUELCHE</t>
        </is>
      </c>
      <c r="C40" s="0">
        <v>4</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Global</t>
        </is>
      </c>
      <c r="H40" s="4" t="inlineStr">
        <is>
          <t xml:space="preserve">SketchUp Pro o similar o superior</t>
        </is>
      </c>
    </row>
    <row r="41">
      <c r="A41" s="0" t="inlineStr">
        <is>
          <t xml:space="preserve">1375757-32-LP26</t>
        </is>
      </c>
      <c r="B41" s="4" t="inlineStr">
        <is>
          <t xml:space="preserve">LICENCIAS DE SOFTWARE PARA SLEP DE PUELCHE</t>
        </is>
      </c>
      <c r="C41" s="0">
        <v>5</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Global</t>
        </is>
      </c>
      <c r="H41" s="4" t="inlineStr">
        <is>
          <t xml:space="preserve">AnyDesk (mínimo 2 conexiones simultáneas)</t>
        </is>
      </c>
    </row>
    <row r="42">
      <c r="A42" s="0" t="inlineStr">
        <is>
          <t xml:space="preserve">1375757-32-LP26</t>
        </is>
      </c>
      <c r="B42" s="4" t="inlineStr">
        <is>
          <t xml:space="preserve">LICENCIAS DE SOFTWARE PARA SLEP DE PUELCHE</t>
        </is>
      </c>
      <c r="C42" s="0">
        <v>6</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Global</t>
        </is>
      </c>
      <c r="H42" s="4" t="inlineStr">
        <is>
          <t xml:space="preserve">Adobe Creative Cloud Pro</t>
        </is>
      </c>
    </row>
    <row r="43">
      <c r="A43" s="0" t="inlineStr">
        <is>
          <t xml:space="preserve">1375757-32-LP26</t>
        </is>
      </c>
      <c r="B43" s="4" t="inlineStr">
        <is>
          <t xml:space="preserve">LICENCIAS DE SOFTWARE PARA SLEP DE PUELCHE</t>
        </is>
      </c>
      <c r="C43" s="0">
        <v>7</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Global</t>
        </is>
      </c>
      <c r="H43" s="4" t="inlineStr">
        <is>
          <t xml:space="preserve">Planner and Project Plan 3 for faculty</t>
        </is>
      </c>
    </row>
    <row r="44">
      <c r="A44" s="0" t="inlineStr">
        <is>
          <t xml:space="preserve">1375757-32-LP26</t>
        </is>
      </c>
      <c r="B44" s="4" t="inlineStr">
        <is>
          <t xml:space="preserve">LICENCIAS DE SOFTWARE PARA SLEP DE PUELCHE</t>
        </is>
      </c>
      <c r="C44" s="0">
        <v>8</v>
      </c>
      <c r="D44" s="4" t="inlineStr">
        <is>
          <t xml:space="preserve">Software de gestión de licencias</t>
        </is>
      </c>
      <c r="E44" s="4" t="inlineStr">
        <is>
          <t xml:space="preserve">Tecnologías de la información, telecomunicaciones y radiodifusión / Software / Software de gestión</t>
        </is>
      </c>
      <c r="F44" s="0">
        <v>1.0</v>
      </c>
      <c r="G44" s="0" t="inlineStr">
        <is>
          <t xml:space="preserve">Global</t>
        </is>
      </c>
      <c r="H44" s="4" t="inlineStr">
        <is>
          <t xml:space="preserve">Freshworks (Mesa de Ayuda TI)</t>
        </is>
      </c>
    </row>
    <row r="45">
      <c r="A45" s="0" t="inlineStr">
        <is>
          <t xml:space="preserve">1375757-32-LP26</t>
        </is>
      </c>
      <c r="B45" s="4" t="inlineStr">
        <is>
          <t xml:space="preserve">LICENCIAS DE SOFTWARE PARA SLEP DE PUELCHE</t>
        </is>
      </c>
      <c r="C45" s="0">
        <v>9</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Global</t>
        </is>
      </c>
      <c r="H45" s="4" t="inlineStr">
        <is>
          <t xml:space="preserve">Vectorworks o similar o superior</t>
        </is>
      </c>
    </row>
    <row r="46">
      <c r="A46" s="0" t="inlineStr">
        <is>
          <t xml:space="preserve">1375757-32-LP26</t>
        </is>
      </c>
      <c r="B46" s="4" t="inlineStr">
        <is>
          <t xml:space="preserve">LICENCIAS DE SOFTWARE PARA SLEP DE PUELCHE</t>
        </is>
      </c>
      <c r="C46" s="0">
        <v>10</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Global</t>
        </is>
      </c>
      <c r="H46" s="4" t="inlineStr">
        <is>
          <t xml:space="preserve">Claude Max 20x o similar o superior</t>
        </is>
      </c>
    </row>
    <row r="47">
      <c r="A47" s="0" t="inlineStr">
        <is>
          <t xml:space="preserve">1375757-32-LP26</t>
        </is>
      </c>
      <c r="B47" s="4" t="inlineStr">
        <is>
          <t xml:space="preserve">LICENCIAS DE SOFTWARE PARA SLEP DE PUELCHE</t>
        </is>
      </c>
      <c r="C47" s="0">
        <v>11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Global</t>
        </is>
      </c>
      <c r="H47" s="4" t="inlineStr">
        <is>
          <t xml:space="preserve">ChatGPT Business</t>
        </is>
      </c>
    </row>
    <row r="48">
      <c r="A48" s="0" t="inlineStr">
        <is>
          <t xml:space="preserve">1375757-32-LP26</t>
        </is>
      </c>
      <c r="B48" s="4" t="inlineStr">
        <is>
          <t xml:space="preserve">LICENCIAS DE SOFTWARE PARA SLEP DE PUELCHE</t>
        </is>
      </c>
      <c r="C48" s="0">
        <v>12</v>
      </c>
      <c r="D48" s="4" t="inlineStr">
        <is>
          <t xml:space="preserve">Software de gestión de licencias</t>
        </is>
      </c>
      <c r="E48" s="4" t="inlineStr">
        <is>
          <t xml:space="preserve">Tecnologías de la información, telecomunicaciones y radiodifusión / Software / Software de gestión</t>
        </is>
      </c>
      <c r="F48" s="0">
        <v>1.0</v>
      </c>
      <c r="G48" s="0" t="inlineStr">
        <is>
          <t xml:space="preserve">Global</t>
        </is>
      </c>
      <c r="H48" s="4" t="inlineStr">
        <is>
          <t xml:space="preserve">ClickUp Business</t>
        </is>
      </c>
    </row>
    <row r="49">
      <c r="A49" s="0" t="inlineStr">
        <is>
          <t xml:space="preserve">1375757-32-LP26</t>
        </is>
      </c>
      <c r="B49" s="4" t="inlineStr">
        <is>
          <t xml:space="preserve">LICENCIAS DE SOFTWARE PARA SLEP DE PUELCHE</t>
        </is>
      </c>
      <c r="C49" s="0">
        <v>13</v>
      </c>
      <c r="D49" s="4" t="inlineStr">
        <is>
          <t xml:space="preserve">Software de gestión de licencias</t>
        </is>
      </c>
      <c r="E49" s="4" t="inlineStr">
        <is>
          <t xml:space="preserve">Tecnologías de la información, telecomunicaciones y radiodifusión / Software / Software de gestión</t>
        </is>
      </c>
      <c r="F49" s="0">
        <v>1.0</v>
      </c>
      <c r="G49" s="0" t="inlineStr">
        <is>
          <t xml:space="preserve">Global</t>
        </is>
      </c>
      <c r="H49" s="4" t="inlineStr">
        <is>
          <t xml:space="preserve">Microsoft Office LTSC Professional Plus 2024 o similar o superior (perpetua)</t>
        </is>
      </c>
    </row>
    <row r="50">
      <c r="A50" s="0" t="inlineStr">
        <is>
          <t xml:space="preserve">1389183-71-LE26</t>
        </is>
      </c>
      <c r="B50" s="4" t="inlineStr">
        <is>
          <t xml:space="preserve">PROGRAMAS INFORMATICOS PARA LICEOS TP</t>
        </is>
      </c>
      <c r="C50" s="0">
        <v>1</v>
      </c>
      <c r="D50" s="4" t="inlineStr">
        <is>
          <t xml:space="preserve">Programas de contabilidad</t>
        </is>
      </c>
      <c r="E50" s="4" t="inlineStr">
        <is>
          <t xml:space="preserve">Tecnologías de la información, telecomunicaciones y radiodifusión / Software / Software de planificación de recursos empresariales (ERP) y contabilidad financiera</t>
        </is>
      </c>
      <c r="F50" s="0">
        <v>1.0</v>
      </c>
      <c r="G50" s="0" t="inlineStr">
        <is>
          <t xml:space="preserve">Unidad</t>
        </is>
      </c>
      <c r="H50" s="4" t="inlineStr">
        <is>
          <t xml:space="preserve">PROGRAMAS INFORMATICOS PARA LICEO COMERCIAL ANDRES BELLO</t>
        </is>
      </c>
    </row>
    <row r="51">
      <c r="A51" s="0" t="inlineStr">
        <is>
          <t xml:space="preserve">1389183-71-LE26</t>
        </is>
      </c>
      <c r="B51" s="4" t="inlineStr">
        <is>
          <t xml:space="preserve">PROGRAMAS INFORMATICOS PARA LICEOS TP</t>
        </is>
      </c>
      <c r="C51" s="0">
        <v>2</v>
      </c>
      <c r="D51" s="4" t="inlineStr">
        <is>
          <t xml:space="preserve">Software de gestión de recursos humanos</t>
        </is>
      </c>
      <c r="E51" s="4" t="inlineStr">
        <is>
          <t xml:space="preserve">Tecnologías de la información, telecomunicaciones y radiodifusión / Software / Software de gestión</t>
        </is>
      </c>
      <c r="F51" s="0">
        <v>1.0</v>
      </c>
      <c r="G51" s="0" t="inlineStr">
        <is>
          <t xml:space="preserve">Unidad</t>
        </is>
      </c>
      <c r="H51" s="4" t="inlineStr">
        <is>
          <t xml:space="preserve">PROGRAMAS INFORMATICOS PARA LICEO EDUARDO FREI</t>
        </is>
      </c>
    </row>
    <row r="52">
      <c r="A52" s="0" t="inlineStr">
        <is>
          <t xml:space="preserve">4455-53-LE26</t>
        </is>
      </c>
      <c r="B52" s="4" t="inlineStr">
        <is>
          <t xml:space="preserve">SERVICIO ARRIENDO DE SOFWARE DE ASISTENCIA CLOUD</t>
        </is>
      </c>
      <c r="C52" s="0">
        <v>1</v>
      </c>
      <c r="D52" s="4" t="inlineStr">
        <is>
          <t xml:space="preserve">Reloj de control</t>
        </is>
      </c>
      <c r="E52" s="4" t="inlineStr">
        <is>
          <t xml:space="preserve">Equipos, accesorios y suministros de oficina / Maquinarias, suministros y accesorios de oficina / Máquinas y accesorios para registro de hora y asistencia en la oficina</t>
        </is>
      </c>
      <c r="F52" s="0">
        <v>1.0</v>
      </c>
      <c r="G52" s="0" t="inlineStr">
        <is>
          <t xml:space="preserve">Unidad</t>
        </is>
      </c>
      <c r="H52" s="4" t="inlineStr">
        <is>
          <t xml:space="preserve">Servicio Arriendo de SOFTWARE de Asistencia Cloud para Establecimientos Educacionales, Jardines, Salas Cunas de la Comuna y Departamento de Educación Municipal, por 14 meses</t>
        </is>
      </c>
    </row>
    <row r="53">
      <c r="A53" s="0" t="inlineStr">
        <is>
          <t xml:space="preserve">1230869-7-LE26</t>
        </is>
      </c>
      <c r="B53" s="4" t="inlineStr">
        <is>
          <t xml:space="preserve">SERVICIO DE SOFTWARE DE CONTABILIDAD GUBERNAMENTAL</t>
        </is>
      </c>
      <c r="C53" s="0">
        <v>1</v>
      </c>
      <c r="D53" s="4" t="inlineStr">
        <is>
          <t xml:space="preserve">Programas de contabilidad</t>
        </is>
      </c>
      <c r="E53" s="4" t="inlineStr">
        <is>
          <t xml:space="preserve">Tecnologías de la información, telecomunicaciones y radiodifusión / Software / Software de planificación de recursos empresariales (ERP) y contabilidad financiera</t>
        </is>
      </c>
      <c r="F53" s="0">
        <v>1.0</v>
      </c>
      <c r="G53" s="0" t="inlineStr">
        <is>
          <t xml:space="preserve">Unidad</t>
        </is>
      </c>
      <c r="H53" s="4" t="inlineStr">
        <is>
          <t xml:space="preserve">SERVICIO DE SOFTWARE DE CONTABILIDAD GUBERNAMENTAL PARA LA CORPORACIÓN CULTURAL DE LA FLORIDA</t>
        </is>
      </c>
    </row>
    <row r="54">
      <c r="A54" s="0" t="inlineStr">
        <is>
          <t xml:space="preserve">1191449-19-LP26</t>
        </is>
      </c>
      <c r="B54" s="4" t="inlineStr">
        <is>
          <t xml:space="preserve">SERVICIOS  DE ADMINIS DE INFRAES CLOUD Y MANTEN AN</t>
        </is>
      </c>
      <c r="C54" s="0">
        <v>1</v>
      </c>
      <c r="D54" s="4" t="inlineStr">
        <is>
          <t xml:space="preserve">Profesionales</t>
        </is>
      </c>
      <c r="E54" s="4" t="inlineStr">
        <is>
          <t xml:space="preserve">Servicios profesionales, administrativos y consultorías de gestión empresarial / Servicios de recursos humanos / Contratación de personal</t>
        </is>
      </c>
      <c r="F54" s="0">
        <v>1.0</v>
      </c>
      <c r="G54" s="0" t="inlineStr">
        <is>
          <t xml:space="preserve">Unidad</t>
        </is>
      </c>
      <c r="H54" s="4" t="inlineStr">
        <is>
          <t xml:space="preserve">Servicio profesional de administración de infraestructura Cloud</t>
        </is>
      </c>
    </row>
    <row r="55">
      <c r="A55" s="0" t="inlineStr">
        <is>
          <t xml:space="preserve">1191449-19-LP26</t>
        </is>
      </c>
      <c r="B55" s="4" t="inlineStr">
        <is>
          <t xml:space="preserve">SERVICIOS  DE ADMINIS DE INFRAES CLOUD Y MANTEN AN</t>
        </is>
      </c>
      <c r="C55" s="0">
        <v>2</v>
      </c>
      <c r="D55" s="4" t="inlineStr">
        <is>
          <t xml:space="preserve">Profesionales</t>
        </is>
      </c>
      <c r="E55" s="4" t="inlineStr">
        <is>
          <t xml:space="preserve">Servicios profesionales, administrativos y consultorías de gestión empresarial / Servicios de recursos humanos / Contratación de personal</t>
        </is>
      </c>
      <c r="F55" s="0">
        <v>1.0</v>
      </c>
      <c r="G55" s="0" t="inlineStr">
        <is>
          <t xml:space="preserve">Unidad</t>
        </is>
      </c>
      <c r="H55" s="4" t="inlineStr">
        <is>
          <t xml:space="preserve">Servicio profesional de mantención de sistemas</t>
        </is>
      </c>
    </row>
    <row r="56">
      <c r="A56" s="0" t="inlineStr">
        <is>
          <t xml:space="preserve">591-34-LE26</t>
        </is>
      </c>
      <c r="B56" s="4" t="inlineStr">
        <is>
          <t xml:space="preserve">CURSO IA EN INGENIERÍA DE SOFTWARE Y ANALÍTICA  A</t>
        </is>
      </c>
      <c r="C56" s="0">
        <v>1</v>
      </c>
      <c r="D56" s="4" t="inlineStr">
        <is>
          <t xml:space="preserve">Programas o cursos no diplomados a distancia</t>
        </is>
      </c>
      <c r="E56" s="4" t="inlineStr">
        <is>
          <t xml:space="preserve">Educación, formación, entrenamiento y capacitación / Sistemas educativos complementarios / Aprendizaje a distancia</t>
        </is>
      </c>
      <c r="F56" s="0">
        <v>1.0</v>
      </c>
      <c r="G56" s="0" t="inlineStr">
        <is>
          <t xml:space="preserve">Unidad</t>
        </is>
      </c>
      <c r="H56" s="4" t="inlineStr">
        <is>
          <t xml:space="preserve">CURSO IA EN INGENIERÍA DE SOFTWARE Y ANALÍTICA  AVANZADA</t>
        </is>
      </c>
    </row>
    <row r="57">
      <c r="A57" s="0" t="inlineStr">
        <is>
          <t xml:space="preserve">1409-15-LE26</t>
        </is>
      </c>
      <c r="B57" s="4" t="inlineStr">
        <is>
          <t xml:space="preserve">Servicio arriendo red de datos e internet</t>
        </is>
      </c>
      <c r="C57" s="0">
        <v>1</v>
      </c>
      <c r="D57" s="4" t="inlineStr">
        <is>
          <t xml:space="preserve">Proveedores de servicio de Internet (ISP)</t>
        </is>
      </c>
      <c r="E57" s="4" t="inlineStr">
        <is>
          <t xml:space="preserve">Servicios basados en ingeniería, ciencias sociales y tecnología de la información / Servicios informáticos / Servicios para internet</t>
        </is>
      </c>
      <c r="F57" s="0">
        <v>36.0</v>
      </c>
      <c r="G57" s="0" t="inlineStr">
        <is>
          <t xml:space="preserve">Mes</t>
        </is>
      </c>
      <c r="H57" s="4" t="inlineStr">
        <is>
          <t xml:space="preserve">Servicio de arriendo red de datos e internet para el aeropuerto el Tepual de Puerto Montt.</t>
        </is>
      </c>
    </row>
    <row r="58">
      <c r="A58" s="0" t="inlineStr">
        <is>
          <t xml:space="preserve">630-29-LE26</t>
        </is>
      </c>
      <c r="B58" s="4" t="inlineStr">
        <is>
          <t xml:space="preserve">SERVICIO DE GESTIÓN DOCUMENTAL EN MODALIDAD SAAS</t>
        </is>
      </c>
      <c r="C58" s="0">
        <v>1</v>
      </c>
      <c r="D58" s="4" t="inlineStr">
        <is>
          <t xml:space="preserve">Programas de gestión de documentos</t>
        </is>
      </c>
      <c r="E58" s="4" t="inlineStr">
        <is>
          <t xml:space="preserve">Tecnologías de la información, telecomunicaciones y radiodifusión / Software / Software de gestión de contenidos</t>
        </is>
      </c>
      <c r="F58" s="0">
        <v>1.0</v>
      </c>
      <c r="G58" s="0" t="inlineStr">
        <is>
          <t xml:space="preserve">Unidad</t>
        </is>
      </c>
      <c r="H58" s="4" t="inlineStr">
        <is>
          <t xml:space="preserve">CONTRATACIÓN DEL SERVICIO DE GESTIÓN DOCUMENTAL EN MODALIDAD SAAS (SOFTWARE AS A SERVICE) PARA LA SUBSECRETARÍA DEL TRABAJO</t>
        </is>
      </c>
    </row>
    <row r="59">
      <c r="A59" s="0" t="inlineStr">
        <is>
          <t xml:space="preserve">3809-6-LE26</t>
        </is>
      </c>
      <c r="B59" s="4" t="inlineStr">
        <is>
          <t xml:space="preserve">Tecnologias de la Informacion</t>
        </is>
      </c>
      <c r="C59" s="0">
        <v>1</v>
      </c>
      <c r="D59" s="4" t="inlineStr">
        <is>
          <t xml:space="preserve">Impresoras de chorro de tinta</t>
        </is>
      </c>
      <c r="E59" s="4" t="inlineStr">
        <is>
          <t xml:space="preserve">Tecnologías de la información, telecomunicaciones y radiodifusión / Equipos informáticos y accesorios / Impresoras</t>
        </is>
      </c>
      <c r="F59" s="0">
        <v>3.0</v>
      </c>
      <c r="G59" s="0" t="inlineStr">
        <is>
          <t xml:space="preserve">Unidad</t>
        </is>
      </c>
      <c r="H59" s="4" t="inlineStr">
        <is>
          <t xml:space="preserve">Inyección de tinta con sistema continuo integrado.Conectividad Wi-Fi y USB.Velocidad mínima de impresión: 16 ipm en negro y 9 ipm a color.Resolución mínima: 6.000 x 1.200 dpi.Impresión dúplex automática.Referencia técnica o equivalente: Brother DCP-T530DW</t>
        </is>
      </c>
    </row>
    <row r="60">
      <c r="A60" s="0" t="inlineStr">
        <is>
          <t xml:space="preserve">3809-6-LE26</t>
        </is>
      </c>
      <c r="B60" s="4" t="inlineStr">
        <is>
          <t xml:space="preserve">Tecnologias de la Informacion</t>
        </is>
      </c>
      <c r="C60" s="0">
        <v>2</v>
      </c>
      <c r="D60" s="4" t="inlineStr">
        <is>
          <t xml:space="preserve">Impresoras de chorro de tinta</t>
        </is>
      </c>
      <c r="E60" s="4" t="inlineStr">
        <is>
          <t xml:space="preserve">Tecnologías de la información, telecomunicaciones y radiodifusión / Equipos informáticos y accesorios / Impresoras</t>
        </is>
      </c>
      <c r="F60" s="0">
        <v>1.0</v>
      </c>
      <c r="G60" s="0" t="inlineStr">
        <is>
          <t xml:space="preserve">Unidad</t>
        </is>
      </c>
      <c r="H60" s="4" t="inlineStr">
        <is>
          <t xml:space="preserve">Impresora portátil con batería de litio recargable integrada. Conectividad USB 2.0,Wi-Fi,con soporte de impresión móvil. Velocidad: 10 ppm negro y 7 ppm color.Resolución:4.800x1.200 dpi.Pantalla de control de 2".Equivalente: HP OfficeJet 200 Mobile</t>
        </is>
      </c>
    </row>
    <row r="61">
      <c r="A61" s="0" t="inlineStr">
        <is>
          <t xml:space="preserve">3809-6-LE26</t>
        </is>
      </c>
      <c r="B61" s="4" t="inlineStr">
        <is>
          <t xml:space="preserve">Tecnologias de la Informacion</t>
        </is>
      </c>
      <c r="C61" s="0">
        <v>3</v>
      </c>
      <c r="D61" s="4" t="inlineStr">
        <is>
          <t xml:space="preserve">Computadores personales</t>
        </is>
      </c>
      <c r="E61" s="4" t="inlineStr">
        <is>
          <t xml:space="preserve">Tecnologías de la información, telecomunicaciones y radiodifusión / Equipos informáticos y accesorios / Computadores</t>
        </is>
      </c>
      <c r="F61" s="0">
        <v>1.0</v>
      </c>
      <c r="G61" s="0" t="inlineStr">
        <is>
          <t xml:space="preserve">Unidad</t>
        </is>
      </c>
      <c r="H61" s="4" t="inlineStr">
        <is>
          <t xml:space="preserve">PC All-In-One ajustable (1 un): Ryzen 5 5600, i5 12ª o Ultra 5; RAM 8GB+, SSD 512GB NVMe. Pantalla 23.8" FHD ajustable en altura, webcam retráctil FHD, Wi-Fi 6, periféricos, garantía 12m. win Pro</t>
        </is>
      </c>
    </row>
    <row r="62">
      <c r="A62" s="0" t="inlineStr">
        <is>
          <t xml:space="preserve">3809-6-LE26</t>
        </is>
      </c>
      <c r="B62" s="4" t="inlineStr">
        <is>
          <t xml:space="preserve">Tecnologias de la Informacion</t>
        </is>
      </c>
      <c r="C62" s="0">
        <v>4</v>
      </c>
      <c r="D62" s="4" t="inlineStr">
        <is>
          <t xml:space="preserve">Impresoras por sublimación de tinta</t>
        </is>
      </c>
      <c r="E62" s="4" t="inlineStr">
        <is>
          <t xml:space="preserve">Tecnologías de la información, telecomunicaciones y radiodifusión / Equipos informáticos y accesorios / Impresoras</t>
        </is>
      </c>
      <c r="F62" s="0">
        <v>1.0</v>
      </c>
      <c r="G62" s="0" t="inlineStr">
        <is>
          <t xml:space="preserve">Unidad</t>
        </is>
      </c>
      <c r="H62" s="4" t="inlineStr">
        <is>
          <t xml:space="preserve">Impresora sublimación A4 (1 un): Cabezal PrecisionCore, tanque continuo, res. 1200x600 dpi, bandeja 150h, USB/Wi-Fi, 220V. Incluye 4 botellas tintas originales.Bandeja posterior de alimentación de hasta 150 hojas.Ref. Epson F170 o equiv</t>
        </is>
      </c>
    </row>
    <row r="63">
      <c r="A63" s="0" t="inlineStr">
        <is>
          <t xml:space="preserve">3809-6-LE26</t>
        </is>
      </c>
      <c r="B63" s="4" t="inlineStr">
        <is>
          <t xml:space="preserve">Tecnologias de la Informacion</t>
        </is>
      </c>
      <c r="C63" s="0">
        <v>5</v>
      </c>
      <c r="D63" s="4" t="inlineStr">
        <is>
          <t xml:space="preserve">Notebook, laptop o computador portátil excepto Tablet PC</t>
        </is>
      </c>
      <c r="E63" s="4" t="inlineStr">
        <is>
          <t xml:space="preserve">Tecnologías de la información, telecomunicaciones y radiodifusión / Equipos informáticos y accesorios / Computadores</t>
        </is>
      </c>
      <c r="F63" s="0">
        <v>1.0</v>
      </c>
      <c r="G63" s="0" t="inlineStr">
        <is>
          <t xml:space="preserve">Unidad</t>
        </is>
      </c>
      <c r="H63" s="4" t="inlineStr">
        <is>
          <t xml:space="preserve">Notebook corporativo (1 un): 15.6" FHD IPS, i5 ó i7 13ª/14ª Gen (10+ núcleos), RAM 16GB, SSD 512GB NVMe, Wi-Fi 6, lector de huella, pad numérico, chasis metal &amp;lt;1.6kg, Win 11 Pro 64-bit. Ref. Galaxy Book4.</t>
        </is>
      </c>
    </row>
    <row r="64">
      <c r="A64" s="0" t="inlineStr">
        <is>
          <t xml:space="preserve">3809-6-LE26</t>
        </is>
      </c>
      <c r="B64" s="4" t="inlineStr">
        <is>
          <t xml:space="preserve">Tecnologias de la Informacion</t>
        </is>
      </c>
      <c r="C64" s="0">
        <v>6</v>
      </c>
      <c r="D64" s="4" t="inlineStr">
        <is>
          <t xml:space="preserve">Carcasas o máscaras para PDA, Smartphones  o notebook</t>
        </is>
      </c>
      <c r="E64" s="4" t="inlineStr">
        <is>
          <t xml:space="preserve">Tecnologías de la información, telecomunicaciones y radiodifusión / Dispositivos de comunicaciones y accesorios / Piezas o accesorios de dispositivos de comunicación personal</t>
        </is>
      </c>
      <c r="F64" s="0">
        <v>1.0</v>
      </c>
      <c r="G64" s="0" t="inlineStr">
        <is>
          <t xml:space="preserve">Unidad</t>
        </is>
      </c>
      <c r="H64" s="4" t="inlineStr">
        <is>
          <t xml:space="preserve">Compatible con portátiles de hasta 15.6". Confección en tela de poliéster de alta densidad, resistente al agua y al desgaste. Compartimento principal acolchado con forro suave antirrayaduras y cierre reforzado de doble tirador. Bolsillo frontal exterior c</t>
        </is>
      </c>
    </row>
    <row r="65">
      <c r="A65" s="0" t="inlineStr">
        <is>
          <t xml:space="preserve">3809-6-LE26</t>
        </is>
      </c>
      <c r="B65" s="4" t="inlineStr">
        <is>
          <t xml:space="preserve">Tecnologias de la Informacion</t>
        </is>
      </c>
      <c r="C65" s="0">
        <v>7</v>
      </c>
      <c r="D65" s="4" t="inlineStr">
        <is>
          <t xml:space="preserve">Proyectores multimedia</t>
        </is>
      </c>
      <c r="E65" s="4" t="inlineStr">
        <is>
          <t xml:space="preserve">Equipos y suministros de imprenta, fotográficos y audiovisuales / Equipos de composición y presentación audiovisual / Proyectores y suministros</t>
        </is>
      </c>
      <c r="F65" s="0">
        <v>2.0</v>
      </c>
      <c r="G65" s="0" t="inlineStr">
        <is>
          <t xml:space="preserve">Unidad</t>
        </is>
      </c>
      <c r="H65" s="4" t="inlineStr">
        <is>
          <t xml:space="preserve">Proyector multimedia de alta luminosidad (mínimo 3.000 lúmenes ANSI), resolución nativa XGA o superior, entradas HDMI y VGA, parlante integrado, control remoto. (Referencia técnica o equivalente: Epson PowerLite E24).</t>
        </is>
      </c>
    </row>
    <row r="66">
      <c r="A66" s="0" t="inlineStr">
        <is>
          <t xml:space="preserve">3809-6-LE26</t>
        </is>
      </c>
      <c r="B66" s="4" t="inlineStr">
        <is>
          <t xml:space="preserve">Tecnologias de la Informacion</t>
        </is>
      </c>
      <c r="C66" s="0">
        <v>8</v>
      </c>
      <c r="D66" s="4" t="inlineStr">
        <is>
          <t xml:space="preserve">Atriles de pie</t>
        </is>
      </c>
      <c r="E66" s="4" t="inlineStr">
        <is>
          <t xml:space="preserve">Equipos y suministros de imprenta, fotográficos y audiovisuales / Equipos de composición y presentación audiovisual / Atriles, sistemas de sonido y accesorios</t>
        </is>
      </c>
      <c r="F66" s="0">
        <v>2.0</v>
      </c>
      <c r="G66" s="0" t="inlineStr">
        <is>
          <t xml:space="preserve">Unidad</t>
        </is>
      </c>
      <c r="H66" s="4" t="inlineStr">
        <is>
          <t xml:space="preserve">Telón de proyección portatil con trípode ajustable, dimensiones de pantalla 182 x 120 cm, formato 3:2 / 16:9, tela de alta ganancia antirreflejo con borde negro de contraste.</t>
        </is>
      </c>
    </row>
    <row r="67">
      <c r="A67" s="0" t="inlineStr">
        <is>
          <t xml:space="preserve">3809-6-LE26</t>
        </is>
      </c>
      <c r="B67" s="4" t="inlineStr">
        <is>
          <t xml:space="preserve">Tecnologias de la Informacion</t>
        </is>
      </c>
      <c r="C67" s="0">
        <v>9</v>
      </c>
      <c r="D67" s="4" t="inlineStr">
        <is>
          <t xml:space="preserve">Computadores de escritorio</t>
        </is>
      </c>
      <c r="E67" s="4" t="inlineStr">
        <is>
          <t xml:space="preserve">Tecnologías de la información, telecomunicaciones y radiodifusión / Equipos informáticos y accesorios / Computadores</t>
        </is>
      </c>
      <c r="F67" s="0">
        <v>3.0</v>
      </c>
      <c r="G67" s="0" t="inlineStr">
        <is>
          <t xml:space="preserve">Unidad</t>
        </is>
      </c>
      <c r="H67" s="4" t="inlineStr">
        <is>
          <t xml:space="preserve">Formato All-In-One (AIO). Procesador Intel Core i5 de 12ª Generación o superior. Memoria RAM: 16 GB DDR4/DDR5. Almacenamiento: 512 GB SSD NVMe M.2. Pantalla: 23,8" Full HD. Incluye teclado y mouse. Sistema Operativo: Windows 11 Pro</t>
        </is>
      </c>
    </row>
    <row r="68">
      <c r="A68" s="0" t="inlineStr">
        <is>
          <t xml:space="preserve">3809-6-LE26</t>
        </is>
      </c>
      <c r="B68" s="4" t="inlineStr">
        <is>
          <t xml:space="preserve">Tecnologias de la Informacion</t>
        </is>
      </c>
      <c r="C68" s="0">
        <v>10</v>
      </c>
      <c r="D68" s="4" t="inlineStr">
        <is>
          <t xml:space="preserve">Impresoras de chorro de tinta</t>
        </is>
      </c>
      <c r="E68" s="4" t="inlineStr">
        <is>
          <t xml:space="preserve">Tecnologías de la información, telecomunicaciones y radiodifusión / Equipos informáticos y accesorios / Impresoras</t>
        </is>
      </c>
      <c r="F68" s="0">
        <v>3.0</v>
      </c>
      <c r="G68" s="0" t="inlineStr">
        <is>
          <t xml:space="preserve">Unidad</t>
        </is>
      </c>
      <c r="H68" s="4" t="inlineStr">
        <is>
          <t xml:space="preserve">Impresora red y ADF (3 un): Tanque continuo, Impresión dúplex automática, ADF 20 hojas, bandeja multipropósito 80h, LAN Ethernet, Wi-Fi Direct, pantalla LCD color 1.8", mín. 17/16 ipm, garantía 12m. Ref. Brother T930DW.Impresión dúplex automática.</t>
        </is>
      </c>
    </row>
    <row r="69">
      <c r="A69" s="0" t="inlineStr">
        <is>
          <t xml:space="preserve">3809-6-LE26</t>
        </is>
      </c>
      <c r="B69" s="4" t="inlineStr">
        <is>
          <t xml:space="preserve">Tecnologias de la Informacion</t>
        </is>
      </c>
      <c r="C69" s="0">
        <v>11</v>
      </c>
      <c r="D69" s="4" t="inlineStr">
        <is>
          <t xml:space="preserve">Escáner</t>
        </is>
      </c>
      <c r="E69" s="4" t="inlineStr">
        <is>
          <t xml:space="preserve">Tecnologías de la información, telecomunicaciones y radiodifusión / Equipos informáticos y accesorios / Dispositivos informáticos de entrada de datos</t>
        </is>
      </c>
      <c r="F69" s="0">
        <v>1.0</v>
      </c>
      <c r="G69" s="0" t="inlineStr">
        <is>
          <t xml:space="preserve">Unidad</t>
        </is>
      </c>
      <c r="H69" s="4" t="inlineStr">
        <is>
          <t xml:space="preserve">Escáner de escritorio alimentado por hojas,digitalización a doble cara automática (single-pass duplex),velocidad mínima de 35 ppm/70 ipm,alimentación ADF de al menos 50 hojas,conectividad USB 3.0 y Wi-Fi.(Referencia técnica o equivalente: Brother ADS-3100</t>
        </is>
      </c>
    </row>
    <row r="70">
      <c r="A70" s="0" t="inlineStr">
        <is>
          <t xml:space="preserve">3809-6-LE26</t>
        </is>
      </c>
      <c r="B70" s="4" t="inlineStr">
        <is>
          <t xml:space="preserve">Tecnologias de la Informacion</t>
        </is>
      </c>
      <c r="C70" s="0">
        <v>12</v>
      </c>
      <c r="D70" s="4" t="inlineStr">
        <is>
          <t xml:space="preserve">Sistemas de megafonía</t>
        </is>
      </c>
      <c r="E70" s="4" t="inlineStr">
        <is>
          <t xml:space="preserve">Equipos y suministros de imprenta, fotográficos y audiovisuales / Equipos de composición y presentación audiovisual / Equipo de composición y presentación de sonido, hardware y controladores</t>
        </is>
      </c>
      <c r="F70" s="0">
        <v>1.0</v>
      </c>
      <c r="G70" s="0" t="inlineStr">
        <is>
          <t xml:space="preserve">Kit</t>
        </is>
      </c>
      <c r="H70" s="4" t="inlineStr">
        <is>
          <t xml:space="preserve">Set de amplificación de audio que incluye consola/mezclador de 8 canales, 2 cajas acústicas pasivas/activas de alta potencia, micrófonos y conjunto completo de cables/accesorios de conexión. (Referencia técnica o equivalente: Kit KC 2158).</t>
        </is>
      </c>
    </row>
    <row r="71">
      <c r="A71" s="0" t="inlineStr">
        <is>
          <t xml:space="preserve">29-81-LP26</t>
        </is>
      </c>
      <c r="B71" s="4" t="inlineStr">
        <is>
          <t xml:space="preserve">AGF - PLATAFORMA INGLES</t>
        </is>
      </c>
      <c r="C71" s="0">
        <v>1</v>
      </c>
      <c r="D71" s="4" t="inlineStr">
        <is>
          <t xml:space="preserve">Enseñanza conversacional de idiomas extranjeros</t>
        </is>
      </c>
      <c r="E71" s="4" t="inlineStr">
        <is>
          <t xml:space="preserve">Educación, formación, entrenamiento y capacitación / Sistemas educativos complementarios / Escuelas de idiomas</t>
        </is>
      </c>
      <c r="F71" s="0">
        <v>1.0</v>
      </c>
      <c r="G71" s="0" t="inlineStr">
        <is>
          <t xml:space="preserve">Global</t>
        </is>
      </c>
      <c r="H71" s="4" t="inlineStr">
        <is>
          <t xml:space="preserve">CONTRATACIÓN DE SERVICIO DE PLATAFORMA INTEGRAL DE CAPACITACIÓN EN IDIOMA INGLÉS (MODALIDAD E-LEARNING CON TUTORIA)</t>
        </is>
      </c>
    </row>
    <row r="72">
      <c r="A72" s="0" t="inlineStr">
        <is>
          <t xml:space="preserve">4160-15-LP26</t>
        </is>
      </c>
      <c r="B72" s="4" t="inlineStr">
        <is>
          <t xml:space="preserve">SERV MANTENIMIENTO TRANSMISION DE DATOS CAMARAS</t>
        </is>
      </c>
      <c r="C72" s="0">
        <v>1</v>
      </c>
      <c r="D72" s="4" t="inlineStr">
        <is>
          <t xml:space="preserve">Cámaras de seguridad</t>
        </is>
      </c>
      <c r="E72" s="4" t="inlineStr">
        <is>
          <t xml:space="preserve">Equipos y suministros de defensa, orden público, protección y seguridad / Seguridad, vigilancia y detección / Equipo de vigilancia y detección</t>
        </is>
      </c>
      <c r="F72" s="0">
        <v>48.0</v>
      </c>
      <c r="G72" s="0" t="inlineStr">
        <is>
          <t xml:space="preserve">Mes</t>
        </is>
      </c>
      <c r="H72" s="4" t="inlineStr">
        <is>
          <t xml:space="preserve">contratación del “SERVICIO DE MANTENIMIENTO, TRANSMISION DE DATOS CAMARAS DE TELEVIGILANCIA HUALPÉN”, para lo cual se deberá considerar un plazo de prestación del servicio de 48 meses corridos.</t>
        </is>
      </c>
    </row>
    <row r="73">
      <c r="A73" s="0" t="inlineStr">
        <is>
          <t xml:space="preserve">1469-268-L126</t>
        </is>
      </c>
      <c r="B73" s="4" t="inlineStr">
        <is>
          <t xml:space="preserve">Servicios de Difusión Publicitaria en Plataforma Digital Informativa Nacional</t>
        </is>
      </c>
      <c r="C73" s="0">
        <v>1</v>
      </c>
      <c r="D73" s="4" t="inlineStr">
        <is>
          <t xml:space="preserve">Publicidad en Internet</t>
        </is>
      </c>
      <c r="E73" s="4" t="inlineStr">
        <is>
          <t xml:space="preserve">Servicios editoriales, de diseño, publicidad, gráficos y artistas / Publicidad / Publicidad en medios no impresos</t>
        </is>
      </c>
      <c r="F73" s="0">
        <v>1.0</v>
      </c>
      <c r="G73" s="0" t="inlineStr">
        <is>
          <t xml:space="preserve">Unidad</t>
        </is>
      </c>
      <c r="H73" s="4" t="inlineStr">
        <is>
          <t xml:space="preserve">La Universidad de Talca, requiere contratar un servicio de difusión en medio digital  con presencia nacional. El objetivo es comunicar información acerca de esta casa de estudios mediante la publicación de banner en el home del sitio web.</t>
        </is>
      </c>
    </row>
    <row r="74">
      <c r="A74" s="0" t="inlineStr">
        <is>
          <t xml:space="preserve">2981-293-LE26</t>
        </is>
      </c>
      <c r="B74" s="4" t="inlineStr">
        <is>
          <t xml:space="preserve">ADQUISICIÓN DE 100 GPS TRACKER CON PLATAFORMA INTEGRADA GEOESPACIAL Y DE TRAZABILIDAD Y SU RESPECTIVO EQUIPAMIENTO EJECUCIÓN DEL PLAN CALLE SIN VIOLENCIA</t>
        </is>
      </c>
      <c r="C74" s="0">
        <v>1</v>
      </c>
      <c r="D74" s="4" t="inlineStr">
        <is>
          <t xml:space="preserve">Receptores GPS</t>
        </is>
      </c>
      <c r="E74" s="4" t="inlineStr">
        <is>
          <t xml:space="preserve">Muebles, accesorios, electrodomésticos y productos electrónicos / Equipos y accesorios audiovisuales / Equipos audiovisuales y de electrónica menor</t>
        </is>
      </c>
      <c r="F74" s="0">
        <v>100.0</v>
      </c>
      <c r="G74" s="0" t="inlineStr">
        <is>
          <t xml:space="preserve">Unidad</t>
        </is>
      </c>
      <c r="H74"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75">
      <c r="A75" s="0" t="inlineStr">
        <is>
          <t xml:space="preserve">2122-34-LE26</t>
        </is>
      </c>
      <c r="B75" s="4" t="inlineStr">
        <is>
          <t xml:space="preserve">SOLUCIONES DE INTELIGENCIA ARTIFICIAL</t>
        </is>
      </c>
      <c r="C75" s="0">
        <v>1</v>
      </c>
      <c r="D75" s="4" t="inlineStr">
        <is>
          <t xml:space="preserve">Desarrolladores de software</t>
        </is>
      </c>
      <c r="E75" s="4" t="inlineStr">
        <is>
          <t xml:space="preserve">Servicios profesionales, administrativos y consultorías de gestión empresarial / Servicios de recursos humanos / Contratación de personal</t>
        </is>
      </c>
      <c r="F75" s="0">
        <v>1.0</v>
      </c>
      <c r="G75" s="0" t="inlineStr">
        <is>
          <t xml:space="preserve">Unidad</t>
        </is>
      </c>
      <c r="H75"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76">
      <c r="A76" s="0" t="inlineStr">
        <is>
          <t xml:space="preserve">1107281-6-LE26</t>
        </is>
      </c>
      <c r="B76" s="4" t="inlineStr">
        <is>
          <t xml:space="preserve">COMPRA SOFTWARE COMPATIBLE CON EQUIPO HPLC AGILENT</t>
        </is>
      </c>
      <c r="C76" s="0">
        <v>1</v>
      </c>
      <c r="D76" s="4" t="inlineStr">
        <is>
          <t xml:space="preserve">Software de desarrollo de interfaz gráfica de usuario</t>
        </is>
      </c>
      <c r="E76" s="4" t="inlineStr">
        <is>
          <t xml:space="preserve">Tecnologías de la información, telecomunicaciones y radiodifusión / Software / Programas de desarrollo</t>
        </is>
      </c>
      <c r="F76" s="0">
        <v>1.0</v>
      </c>
      <c r="G76" s="0" t="inlineStr">
        <is>
          <t xml:space="preserve">Unidad</t>
        </is>
      </c>
      <c r="H76"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77">
      <c r="A77" s="0" t="inlineStr">
        <is>
          <t xml:space="preserve">1216085-67-LE26</t>
        </is>
      </c>
      <c r="B77" s="4" t="inlineStr">
        <is>
          <t xml:space="preserve">Adquis. De licencias de software de reloj control.</t>
        </is>
      </c>
      <c r="C77" s="0">
        <v>1</v>
      </c>
      <c r="D77" s="4" t="inlineStr">
        <is>
          <t xml:space="preserve">Software de gestión de recursos humanos</t>
        </is>
      </c>
      <c r="E77" s="4" t="inlineStr">
        <is>
          <t xml:space="preserve">Tecnologías de la información, telecomunicaciones y radiodifusión / Software / Software de gestión</t>
        </is>
      </c>
      <c r="F77" s="0">
        <v>1.0</v>
      </c>
      <c r="G77" s="0" t="inlineStr">
        <is>
          <t xml:space="preserve">Unidad</t>
        </is>
      </c>
      <c r="H77" s="4" t="inlineStr">
        <is>
          <t xml:space="preserve">adquisición de licencias de software de reloj control.</t>
        </is>
      </c>
    </row>
    <row r="78">
      <c r="A78" s="0" t="inlineStr">
        <is>
          <t xml:space="preserve">1005498-23-LE26</t>
        </is>
      </c>
      <c r="B78" s="4" t="inlineStr">
        <is>
          <t xml:space="preserve">Servicio de enlace de datos punto a punto alameda-</t>
        </is>
      </c>
      <c r="C78" s="0">
        <v>1</v>
      </c>
      <c r="D78" s="4" t="inlineStr">
        <is>
          <t xml:space="preserve">Circuitos de telecomunicaciones digitales punto a punto</t>
        </is>
      </c>
      <c r="E78" s="4" t="inlineStr">
        <is>
          <t xml:space="preserve">Servicios básicos y de información pública / Telecomunicaciones / Servicios de telecomunicaciones por circuitos de líneas selectivas y líneas dedicadas arrendadas</t>
        </is>
      </c>
      <c r="F78" s="0">
        <v>1.0</v>
      </c>
      <c r="G78" s="0" t="inlineStr">
        <is>
          <t xml:space="preserve">Unidad</t>
        </is>
      </c>
      <c r="H78" s="4" t="inlineStr">
        <is>
          <t xml:space="preserve">servicio de enlace de datos punto a punto alameda-moneda por un periodo de 24 meses, en pesos chilenos (sin impuesto)</t>
        </is>
      </c>
    </row>
    <row r="79">
      <c r="A79" s="0" t="inlineStr">
        <is>
          <t xml:space="preserve">4469-213-L126</t>
        </is>
      </c>
      <c r="B79" s="4" t="inlineStr">
        <is>
          <t xml:space="preserve">S.C. N° 40675(U.F.), LICENCIA WI FI MERAKI MR ENTERPRISE POR 12 MESES. INFORMÁTICA UPLA. AIUE 2655.</t>
        </is>
      </c>
      <c r="C79" s="0">
        <v>1</v>
      </c>
      <c r="D79" s="4" t="inlineStr">
        <is>
          <t xml:space="preserve">Software de sistema experto</t>
        </is>
      </c>
      <c r="E79" s="4" t="inlineStr">
        <is>
          <t xml:space="preserve">Tecnologías de la información, telecomunicaciones y radiodifusión / Software / Software de gestión</t>
        </is>
      </c>
      <c r="F79" s="0">
        <v>49.0</v>
      </c>
      <c r="G79" s="0" t="inlineStr">
        <is>
          <t xml:space="preserve">Unidad</t>
        </is>
      </c>
      <c r="H79" s="4" t="inlineStr">
        <is>
          <t xml:space="preserve">LICENCIAS MERAKI MR ENTERPRISE POR 12 MESES. SEGÚN ANEXO ADJUNTO.</t>
        </is>
      </c>
    </row>
    <row r="80">
      <c r="A80" s="0" t="inlineStr">
        <is>
          <t xml:space="preserve">1643-91-LP26</t>
        </is>
      </c>
      <c r="B80" s="4" t="inlineStr">
        <is>
          <t xml:space="preserve">SISTEMA INFORMÁTICO ERP</t>
        </is>
      </c>
      <c r="C80" s="0">
        <v>1</v>
      </c>
      <c r="D80" s="4" t="inlineStr">
        <is>
          <t xml:space="preserve">Software de planificación de recursos empresariales (ERP)</t>
        </is>
      </c>
      <c r="E80" s="4" t="inlineStr">
        <is>
          <t xml:space="preserve">Tecnologías de la información, telecomunicaciones y radiodifusión / Software / Software de planificación de recursos empresariales (ERP) y contabilidad financiera</t>
        </is>
      </c>
      <c r="F80" s="0">
        <v>1.0</v>
      </c>
      <c r="G80" s="0" t="inlineStr">
        <is>
          <t xml:space="preserve">Unidad</t>
        </is>
      </c>
      <c r="H80" s="4" t="inlineStr">
        <is>
          <t xml:space="preserve">CONTRATACIÓN DE SISTEMA INFORMÁTICO (ERP)</t>
        </is>
      </c>
    </row>
    <row r="81">
      <c r="A81" s="0" t="inlineStr">
        <is>
          <t xml:space="preserve">5482-94-LP26</t>
        </is>
      </c>
      <c r="B81" s="4" t="inlineStr">
        <is>
          <t xml:space="preserve">SERVICIO DE ARRIENDO MANTENCIÓN Y SOPORTE DE PLATAFORMA DOM</t>
        </is>
      </c>
      <c r="C81" s="0">
        <v>1</v>
      </c>
      <c r="D81" s="4" t="inlineStr">
        <is>
          <t xml:space="preserve">Software de desarrollo de plataforma Web</t>
        </is>
      </c>
      <c r="E81" s="4" t="inlineStr">
        <is>
          <t xml:space="preserve">Tecnologías de la información, telecomunicaciones y radiodifusión / Software / Programas de desarrollo</t>
        </is>
      </c>
      <c r="F81" s="0">
        <v>1.0</v>
      </c>
      <c r="G81" s="0" t="inlineStr">
        <is>
          <t xml:space="preserve">Unidad</t>
        </is>
      </c>
      <c r="H81"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82">
      <c r="A82" s="0" t="inlineStr">
        <is>
          <t xml:space="preserve">1080094-17-L126</t>
        </is>
      </c>
      <c r="B82" s="4" t="inlineStr">
        <is>
          <t xml:space="preserve">RADIO PORTÁTIL DIGITAL VHF PARA SAMU</t>
        </is>
      </c>
      <c r="C82" s="0">
        <v>1</v>
      </c>
      <c r="D82" s="4" t="inlineStr">
        <is>
          <t xml:space="preserve">Receptores o transmisores de radiofrecuencia</t>
        </is>
      </c>
      <c r="E82" s="4" t="inlineStr">
        <is>
          <t xml:space="preserve">Muebles, accesorios, electrodomésticos y productos electrónicos / Equipos y accesorios audiovisuales / Equipos audiovisuales y de electrónica menor</t>
        </is>
      </c>
      <c r="F82" s="0">
        <v>20.0</v>
      </c>
      <c r="G82" s="0" t="inlineStr">
        <is>
          <t xml:space="preserve">Unidad</t>
        </is>
      </c>
      <c r="H82" s="4" t="inlineStr">
        <is>
          <t xml:space="preserve">RADIO PORTÁTIL DIGITAL VHF</t>
        </is>
      </c>
    </row>
    <row r="83">
      <c r="A83" s="0" t="inlineStr">
        <is>
          <t xml:space="preserve">1602-20-LE26</t>
        </is>
      </c>
      <c r="B83" s="4" t="inlineStr">
        <is>
          <t xml:space="preserve">ADQUISICIÓN DE LICENCIAS PARA EQUIPOS DE COMUNICACIONES DE LA RED DE DATOS DE LA DGAC 122 dgv</t>
        </is>
      </c>
      <c r="C83" s="0">
        <v>1</v>
      </c>
      <c r="D83" s="4" t="inlineStr">
        <is>
          <t xml:space="preserve">Software de gestión de licencias</t>
        </is>
      </c>
      <c r="E83" s="4" t="inlineStr">
        <is>
          <t xml:space="preserve">Tecnologías de la información, telecomunicaciones y radiodifusión / Software / Software de gestión</t>
        </is>
      </c>
      <c r="F83" s="0">
        <v>70.0</v>
      </c>
      <c r="G83" s="0" t="inlineStr">
        <is>
          <t xml:space="preserve">Unidad</t>
        </is>
      </c>
      <c r="H83"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84">
      <c r="A84" s="0" t="inlineStr">
        <is>
          <t xml:space="preserve">1602-20-LE26</t>
        </is>
      </c>
      <c r="B84" s="4" t="inlineStr">
        <is>
          <t xml:space="preserve">ADQUISICIÓN DE LICENCIAS PARA EQUIPOS DE COMUNICACIONES DE LA RED DE DATOS DE LA DGAC 122 dgv</t>
        </is>
      </c>
      <c r="C84" s="0">
        <v>2</v>
      </c>
      <c r="D84" s="4" t="inlineStr">
        <is>
          <t xml:space="preserve">Software de gestión de licencias</t>
        </is>
      </c>
      <c r="E84" s="4" t="inlineStr">
        <is>
          <t xml:space="preserve">Tecnologías de la información, telecomunicaciones y radiodifusión / Software / Software de gestión</t>
        </is>
      </c>
      <c r="F84" s="0">
        <v>70.0</v>
      </c>
      <c r="G84" s="0" t="inlineStr">
        <is>
          <t xml:space="preserve">Unidad</t>
        </is>
      </c>
      <c r="H84"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85">
      <c r="A85" s="0" t="inlineStr">
        <is>
          <t xml:space="preserve">1602-20-LE26</t>
        </is>
      </c>
      <c r="B85" s="4" t="inlineStr">
        <is>
          <t xml:space="preserve">ADQUISICIÓN DE LICENCIAS PARA EQUIPOS DE COMUNICACIONES DE LA RED DE DATOS DE LA DGAC 122 dgv</t>
        </is>
      </c>
      <c r="C85" s="0">
        <v>3</v>
      </c>
      <c r="D85" s="4" t="inlineStr">
        <is>
          <t xml:space="preserve">Software de gestión de licencias</t>
        </is>
      </c>
      <c r="E85" s="4" t="inlineStr">
        <is>
          <t xml:space="preserve">Tecnologías de la información, telecomunicaciones y radiodifusión / Software / Software de gestión</t>
        </is>
      </c>
      <c r="F85" s="0">
        <v>2.0</v>
      </c>
      <c r="G85" s="0" t="inlineStr">
        <is>
          <t xml:space="preserve">Unidad</t>
        </is>
      </c>
      <c r="H85"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86">
      <c r="A86" s="0" t="inlineStr">
        <is>
          <t xml:space="preserve">1153624-24-L126</t>
        </is>
      </c>
      <c r="B86" s="4" t="inlineStr">
        <is>
          <t xml:space="preserve">Servicio de Ordenamiento de Cableado de Datos y Eléctrico en Datacenter y Rack de Comunicaciones</t>
        </is>
      </c>
      <c r="C86" s="0">
        <v>1</v>
      </c>
      <c r="D86" s="4" t="inlineStr">
        <is>
          <t xml:space="preserve">Conjuntos de cableado</t>
        </is>
      </c>
      <c r="E86" s="4" t="inlineStr">
        <is>
          <t xml:space="preserve">Tecnologías de la información, telecomunicaciones y radiodifusión / Componentes para tecnología de la información, difusión o telecomunicaciones / Subconjuntos para dispositivos electrónicos</t>
        </is>
      </c>
      <c r="F86" s="0">
        <v>1.0</v>
      </c>
      <c r="G86" s="0" t="inlineStr">
        <is>
          <t xml:space="preserve">Unidad</t>
        </is>
      </c>
      <c r="H86" s="4" t="inlineStr">
        <is>
          <t xml:space="preserve">Servicio para ordenar cables en Datacenter y en rack en el edificio ubicado en San Martín 88.</t>
        </is>
      </c>
    </row>
    <row r="87">
      <c r="A87" s="0" t="inlineStr">
        <is>
          <t xml:space="preserve">688-13-LE26</t>
        </is>
      </c>
      <c r="B87" s="4" t="inlineStr">
        <is>
          <t xml:space="preserve">ADQUISICIÓN Y RENOVACIÓN DE LICENCIAS DE SOFTWARE</t>
        </is>
      </c>
      <c r="C87" s="0">
        <v>1</v>
      </c>
      <c r="D87" s="4" t="inlineStr">
        <is>
          <t xml:space="preserve">Software de gestión de licencias</t>
        </is>
      </c>
      <c r="E87" s="4" t="inlineStr">
        <is>
          <t xml:space="preserve">Tecnologías de la información, telecomunicaciones y radiodifusión / Software / Software de gestión</t>
        </is>
      </c>
      <c r="F87" s="0">
        <v>1.0</v>
      </c>
      <c r="G87" s="0" t="inlineStr">
        <is>
          <t xml:space="preserve">Unidad</t>
        </is>
      </c>
      <c r="H87" s="4" t="inlineStr">
        <is>
          <t xml:space="preserve">RED HAT ENTERPRISE DATA CENTER Licencia Red Hay Enterpise Linux for Virtual Datacenters, Standard - 1
year</t>
        </is>
      </c>
    </row>
    <row r="88">
      <c r="A88" s="0" t="inlineStr">
        <is>
          <t xml:space="preserve">688-13-LE26</t>
        </is>
      </c>
      <c r="B88" s="4" t="inlineStr">
        <is>
          <t xml:space="preserve">ADQUISICIÓN Y RENOVACIÓN DE LICENCIAS DE SOFTWARE</t>
        </is>
      </c>
      <c r="C88" s="0">
        <v>2</v>
      </c>
      <c r="D88" s="4" t="inlineStr">
        <is>
          <t xml:space="preserve">Software de gestión de licencias</t>
        </is>
      </c>
      <c r="E88" s="4" t="inlineStr">
        <is>
          <t xml:space="preserve">Tecnologías de la información, telecomunicaciones y radiodifusión / Software / Software de gestión</t>
        </is>
      </c>
      <c r="F88" s="0">
        <v>15.0</v>
      </c>
      <c r="G88" s="0" t="inlineStr">
        <is>
          <t xml:space="preserve">Unidad</t>
        </is>
      </c>
      <c r="H88" s="4" t="inlineStr">
        <is>
          <t xml:space="preserve">ADOBE ACROBAT PRO- 1 year</t>
        </is>
      </c>
    </row>
    <row r="89">
      <c r="A89" s="0" t="inlineStr">
        <is>
          <t xml:space="preserve">688-13-LE26</t>
        </is>
      </c>
      <c r="B89" s="4" t="inlineStr">
        <is>
          <t xml:space="preserve">ADQUISICIÓN Y RENOVACIÓN DE LICENCIAS DE SOFTWARE</t>
        </is>
      </c>
      <c r="C89" s="0">
        <v>3</v>
      </c>
      <c r="D89" s="4" t="inlineStr">
        <is>
          <t xml:space="preserve">Software de gestión de licencias</t>
        </is>
      </c>
      <c r="E89" s="4" t="inlineStr">
        <is>
          <t xml:space="preserve">Tecnologías de la información, telecomunicaciones y radiodifusión / Software / Software de gestión</t>
        </is>
      </c>
      <c r="F89" s="0">
        <v>20.0</v>
      </c>
      <c r="G89" s="0" t="inlineStr">
        <is>
          <t xml:space="preserve">Unidad</t>
        </is>
      </c>
      <c r="H89" s="4" t="inlineStr">
        <is>
          <t xml:space="preserve">FORTITOKEN Mobile Electronic 20 usuarios</t>
        </is>
      </c>
    </row>
    <row r="90">
      <c r="A90" s="0" t="inlineStr">
        <is>
          <t xml:space="preserve">688-13-LE26</t>
        </is>
      </c>
      <c r="B90" s="4" t="inlineStr">
        <is>
          <t xml:space="preserve">ADQUISICIÓN Y RENOVACIÓN DE LICENCIAS DE SOFTWARE</t>
        </is>
      </c>
      <c r="C90" s="0">
        <v>4</v>
      </c>
      <c r="D90" s="4" t="inlineStr">
        <is>
          <t xml:space="preserve">Software de gestión de licencias</t>
        </is>
      </c>
      <c r="E90" s="4" t="inlineStr">
        <is>
          <t xml:space="preserve">Tecnologías de la información, telecomunicaciones y radiodifusión / Software / Software de gestión</t>
        </is>
      </c>
      <c r="F90" s="0">
        <v>45.0</v>
      </c>
      <c r="G90" s="0" t="inlineStr">
        <is>
          <t xml:space="preserve">Unidad</t>
        </is>
      </c>
      <c r="H90" s="4" t="inlineStr">
        <is>
          <t xml:space="preserve">ATLASSIAN JIRA CLOUD
Service Management Estándar 25 usuarios 
Confluence Standard 10 usuarios 
Jira Premium 10 usuarios</t>
        </is>
      </c>
    </row>
    <row r="91">
      <c r="A91" s="0" t="inlineStr">
        <is>
          <t xml:space="preserve">688-13-LE26</t>
        </is>
      </c>
      <c r="B91" s="4" t="inlineStr">
        <is>
          <t xml:space="preserve">ADQUISICIÓN Y RENOVACIÓN DE LICENCIAS DE SOFTWARE</t>
        </is>
      </c>
      <c r="C91" s="0">
        <v>5</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TEAMVIEWERLicencia Teamviewer Corporate con 3 canales + 3 MDS para soporte a
dispositivos móviles</t>
        </is>
      </c>
    </row>
    <row r="92">
      <c r="A92" s="0" t="inlineStr">
        <is>
          <t xml:space="preserve">608897-61-LP26</t>
        </is>
      </c>
      <c r="B92" s="4" t="inlineStr">
        <is>
          <t xml:space="preserve">SOPORTE PLATAFORMAS DE INFORMACIÓN AMBIENTAL BIANUAL</t>
        </is>
      </c>
      <c r="C92" s="0">
        <v>1</v>
      </c>
      <c r="D92" s="4" t="inlineStr">
        <is>
          <t xml:space="preserve">Servicios de asesoría de tecnología medioambiental</t>
        </is>
      </c>
      <c r="E92" s="4" t="inlineStr">
        <is>
          <t xml:space="preserve">Servicios medioambientales / Gestión medioambiental / Servicios de asesoría medioambiental</t>
        </is>
      </c>
      <c r="F92" s="0">
        <v>1.0</v>
      </c>
      <c r="G92" s="0" t="inlineStr">
        <is>
          <t xml:space="preserve">Unidad</t>
        </is>
      </c>
      <c r="H92"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93">
      <c r="A93" s="0" t="inlineStr">
        <is>
          <t xml:space="preserve">2933-73-LE26</t>
        </is>
      </c>
      <c r="B93" s="4" t="inlineStr">
        <is>
          <t xml:space="preserve">2DO LLAMADO SISTEMA DE INFORMACION Y GESTIÓN 2026</t>
        </is>
      </c>
      <c r="C93" s="0">
        <v>1</v>
      </c>
      <c r="D93" s="4" t="inlineStr">
        <is>
          <t xml:space="preserve">Programas de contabilidad</t>
        </is>
      </c>
      <c r="E93" s="4" t="inlineStr">
        <is>
          <t xml:space="preserve">Tecnologías de la información, telecomunicaciones y radiodifusión / Software / Software de planificación de recursos empresariales (ERP) y contabilidad financiera</t>
        </is>
      </c>
      <c r="F93" s="0">
        <v>1.0</v>
      </c>
      <c r="G93" s="0" t="inlineStr">
        <is>
          <t xml:space="preserve">Unidad</t>
        </is>
      </c>
      <c r="H93"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94">
      <c r="A94" s="0" t="inlineStr">
        <is>
          <t xml:space="preserve">4086-48-LP26</t>
        </is>
      </c>
      <c r="B94" s="4" t="inlineStr">
        <is>
          <t xml:space="preserve">SERVICIO DE SISTEMA DE INFORMACIÓN DE LA GESTIÓN</t>
        </is>
      </c>
      <c r="C94" s="0">
        <v>1</v>
      </c>
      <c r="D94" s="4" t="inlineStr">
        <is>
          <t xml:space="preserve">Programas de gestión de configuración</t>
        </is>
      </c>
      <c r="E94" s="4" t="inlineStr">
        <is>
          <t xml:space="preserve">Tecnologías de la información, telecomunicaciones y radiodifusión / Software / Programas de desarrollo</t>
        </is>
      </c>
      <c r="F94" s="0">
        <v>1.0</v>
      </c>
      <c r="G94" s="0" t="inlineStr">
        <is>
          <t xml:space="preserve">Unidad</t>
        </is>
      </c>
      <c r="H94" s="4" t="inlineStr">
        <is>
          <t xml:space="preserve">SERVICIO DE MANTENCIÓN, ARRIENDO Y PROVISIÓN DE SISTEMA DE INFORMACIÓN DE LA GESTIÓN MUNICIPAL Y SOPORTE COMPUTACIONAL SEGÚN BASES, , ESPECIFICACIONES TÉCNICAS, ANEXOS E ITEM ADJUNTOS.</t>
        </is>
      </c>
    </row>
    <row r="95">
      <c r="A95" s="0" t="inlineStr">
        <is>
          <t xml:space="preserve">1469-267-L126</t>
        </is>
      </c>
      <c r="B95" s="4" t="inlineStr">
        <is>
          <t xml:space="preserve">Servicio de Mantenimiento UPS del Centro de Datos en Campus Talca de la Universidad de Talca</t>
        </is>
      </c>
      <c r="C95" s="0">
        <v>1</v>
      </c>
      <c r="D95" s="4" t="inlineStr">
        <is>
          <t xml:space="preserve">Instalación o servicio de sistemas de energía eléctrica</t>
        </is>
      </c>
      <c r="E95" s="4" t="inlineStr">
        <is>
          <t xml:space="preserve">Servicios de construcción y mantenimiento / Servicios de atención, mantenimiento y reparaciones de edificios / Servicios eléctricos</t>
        </is>
      </c>
      <c r="F95" s="0">
        <v>1.0</v>
      </c>
      <c r="G95" s="0" t="inlineStr">
        <is>
          <t xml:space="preserve">Unidad</t>
        </is>
      </c>
      <c r="H95" s="4" t="inlineStr">
        <is>
          <t xml:space="preserve">Servicio de Mantenimiento UPS del Centro de Datos en Campus Talca de la Universidad de Talca</t>
        </is>
      </c>
    </row>
    <row r="96">
      <c r="A96" s="0" t="inlineStr">
        <is>
          <t xml:space="preserve">617807-79-B226</t>
        </is>
      </c>
      <c r="B96" s="4" t="inlineStr">
        <is>
          <t xml:space="preserve">SERVICIO DE MANTENCIÓN PREVENTIVA Y REPARATIVA DE EQUIPOS DE RAYOS X DIGITAL ARCO C PARA EL HOSPITAL SAN JUAN DE DIOS DE LOS ANDES</t>
        </is>
      </c>
      <c r="C96" s="0">
        <v>1</v>
      </c>
      <c r="D96" s="4" t="inlineStr">
        <is>
          <t xml:space="preserve">Servicio de mantenimiento de equipo de fabricación</t>
        </is>
      </c>
      <c r="E96" s="4" t="inlineStr">
        <is>
          <t xml:space="preserve">Servicios de producción y fabricación industrial / Servicios de apoyo o soporte a la fabricación / Servicios de mantenimiento y reparación de equipo de fabricación</t>
        </is>
      </c>
      <c r="F96" s="0">
        <v>1.0</v>
      </c>
      <c r="G96" s="0" t="inlineStr">
        <is>
          <t xml:space="preserve">Unidad</t>
        </is>
      </c>
      <c r="H96" s="4" t="inlineStr">
        <is>
          <t xml:space="preserve">SERVICIO DE MANTENCION PREVENTIVA Y REPARATIVO  DE EQUIPOS DE RAYOS X DIGITAL ARCO C (SEGUN TERMINOS DE REFERENCIA)</t>
        </is>
      </c>
    </row>
    <row r="97">
      <c r="A97" s="0" t="inlineStr">
        <is>
          <t xml:space="preserve">1606-34-LE26</t>
        </is>
      </c>
      <c r="B97" s="4" t="inlineStr">
        <is>
          <t xml:space="preserve">Consultoría para la digitalización de rutas de taxis colectivos. Proyecto Apoyo a la estrategia Chilena de transporte sostenible - CLETS Financiado por la GEF e implementado por CAF</t>
        </is>
      </c>
      <c r="C97" s="0">
        <v>1</v>
      </c>
      <c r="D97" s="4" t="inlineStr">
        <is>
          <t xml:space="preserve">Asesorías en planificación estratégica</t>
        </is>
      </c>
      <c r="E97" s="4" t="inlineStr">
        <is>
          <t xml:space="preserve">Servicios profesionales, administrativos y consultorías de gestión empresarial / Consultorías o asesorías en gestión empresarial / Servicios de consultoría en gestión de empresas</t>
        </is>
      </c>
      <c r="F97" s="0">
        <v>1.0</v>
      </c>
      <c r="G97" s="0" t="inlineStr">
        <is>
          <t xml:space="preserve">Unidad</t>
        </is>
      </c>
      <c r="H97" s="4" t="inlineStr">
        <is>
          <t xml:space="preserve">Servicio de consultoría para la digitalización de rutas de taxis colectivos para el Proyecto CLETS, financiado por la GEF e Implementado por CAF, según bases administrativas adjuntas.</t>
        </is>
      </c>
    </row>
    <row r="98">
      <c r="A98" s="0" t="inlineStr">
        <is>
          <t xml:space="preserve">1461054-45-LP26</t>
        </is>
      </c>
      <c r="B98" s="4" t="inlineStr">
        <is>
          <t xml:space="preserve">PLATAFORMA DE GESTIÓN EDUCACIONAL PARA 77 E.E</t>
        </is>
      </c>
      <c r="C98" s="0">
        <v>1</v>
      </c>
      <c r="D98" s="4" t="inlineStr">
        <is>
          <t xml:space="preserve">Software del sistema de administración de bases de datos</t>
        </is>
      </c>
      <c r="E98" s="4" t="inlineStr">
        <is>
          <t xml:space="preserve">Tecnologías de la información, telecomunicaciones y radiodifusión / Software / Software de consultas y gestión de datos</t>
        </is>
      </c>
      <c r="F98" s="0">
        <v>1.0</v>
      </c>
      <c r="G98" s="0" t="inlineStr">
        <is>
          <t xml:space="preserve">Unidad</t>
        </is>
      </c>
      <c r="H98" s="4" t="inlineStr">
        <is>
          <t xml:space="preserve">PLATAFORMA DE GESTIÓN EDUCACIONAL PARA 77 ESTABLECIMIENTOS EDUCACIONALES DEPENDIENTES DEL SERVICIO LOCAL DE EDUCACIÓN PÚBLICA ELQUI</t>
        </is>
      </c>
    </row>
    <row r="99">
      <c r="A99" s="0" t="inlineStr">
        <is>
          <t xml:space="preserve">948354-140-LR26</t>
        </is>
      </c>
      <c r="B99" s="4" t="inlineStr">
        <is>
          <t xml:space="preserve">CONTRATACIÓN DE UNA SOLUCIÓN INTEGRAL RIS-PACS INCLUYENDO LA PROVISIÓN DE SERVICIOS SOFTWARE HARDWARE E INFRAESTRUCTURA TECNOLÓGICA PARA EL SERVICIO DE IMAGENOLOGÍA DEL HOSPITAL DIPRECA</t>
        </is>
      </c>
      <c r="C99" s="0">
        <v>1</v>
      </c>
      <c r="D99" s="4" t="inlineStr">
        <is>
          <t xml:space="preserve">Sistemas informatizados de archivado de imágenes (PACS) médicos</t>
        </is>
      </c>
      <c r="E99" s="4" t="inlineStr">
        <is>
          <t xml:space="preserve">Equipamiento y suministros médicos / Productos para imágenes y de medicina nuclear / Artículos para archivar información e imágenes radiológicas</t>
        </is>
      </c>
      <c r="F99" s="0">
        <v>60.0</v>
      </c>
      <c r="G99" s="0" t="inlineStr">
        <is>
          <t xml:space="preserve">Mes</t>
        </is>
      </c>
      <c r="H99" s="4" t="inlineStr">
        <is>
          <t xml:space="preserve">SERVICIO DE RIS-PACS PARA EL SERVICIO DE IMAGENOLOGÍA DEL HOSPITAL DIPRECA (De acuerdo a las Bases Técnicas).</t>
        </is>
      </c>
    </row>
    <row r="100">
      <c r="A100" s="0" t="inlineStr">
        <is>
          <t xml:space="preserve">3348-9-LE26</t>
        </is>
      </c>
      <c r="B100" s="4" t="inlineStr">
        <is>
          <t xml:space="preserve">Servicio de Arriendo de Tótem Gestor de Filas</t>
        </is>
      </c>
      <c r="C100" s="0">
        <v>1</v>
      </c>
      <c r="D100" s="4" t="inlineStr">
        <is>
          <t xml:space="preserve">Monitores de pantalla táctil</t>
        </is>
      </c>
      <c r="E100" s="4" t="inlineStr">
        <is>
          <t xml:space="preserve">Tecnologías de la información, telecomunicaciones y radiodifusión / Equipos informáticos y accesorios / Pantallas o monitores de computador</t>
        </is>
      </c>
      <c r="F100" s="0">
        <v>1.0</v>
      </c>
      <c r="G100" s="0" t="inlineStr">
        <is>
          <t xml:space="preserve">Unidad</t>
        </is>
      </c>
      <c r="H100"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101">
      <c r="A101" s="0" t="inlineStr">
        <is>
          <t xml:space="preserve">425-67-LE26</t>
        </is>
      </c>
      <c r="B101" s="4" t="inlineStr">
        <is>
          <t xml:space="preserve">Software de seguridad extendida y Ciberdefensa</t>
        </is>
      </c>
      <c r="C101" s="0">
        <v>1</v>
      </c>
      <c r="D101" s="4" t="inlineStr">
        <is>
          <t xml:space="preserve">Software de equipos de red privada virtual (VPN) o de seguridad de red</t>
        </is>
      </c>
      <c r="E101" s="4" t="inlineStr">
        <is>
          <t xml:space="preserve">Tecnologías de la información, telecomunicaciones y radiodifusión / Software / Software de seguridad y protección</t>
        </is>
      </c>
      <c r="F101" s="0">
        <v>1.0</v>
      </c>
      <c r="G101" s="0" t="inlineStr">
        <is>
          <t xml:space="preserve">Unidad</t>
        </is>
      </c>
      <c r="H101" s="4" t="inlineStr">
        <is>
          <t xml:space="preserve">Software de seguridad extendida y protección de cadena de suministros para la Ciberdefensa de Poder Judicial Ingresar valor total neto según formulario económico N°1</t>
        </is>
      </c>
    </row>
    <row r="102">
      <c r="A102" s="0" t="inlineStr">
        <is>
          <t xml:space="preserve">5148-13-LP26</t>
        </is>
      </c>
      <c r="B102" s="4" t="inlineStr">
        <is>
          <t xml:space="preserve">ADQUISICIÓN SERVIDORES PARA PLATAFORMA IA DEL MP</t>
        </is>
      </c>
      <c r="C102" s="0">
        <v>1</v>
      </c>
      <c r="D102" s="4" t="inlineStr">
        <is>
          <t xml:space="preserve">Servidores</t>
        </is>
      </c>
      <c r="E102" s="4" t="inlineStr">
        <is>
          <t xml:space="preserve">Tecnologías de la información, telecomunicaciones y radiodifusión / Equipos informáticos y accesorios / Computadores</t>
        </is>
      </c>
      <c r="F102" s="0">
        <v>1.0</v>
      </c>
      <c r="G102" s="0" t="inlineStr">
        <is>
          <t xml:space="preserve">Unidad</t>
        </is>
      </c>
      <c r="H102" s="4" t="inlineStr">
        <is>
          <t xml:space="preserve">SERVIDOR PARA LA PLATAFORMA DE INTELIGENCIA ARTIFICIAL (IA) Y MACHINE LEARNING (ML), CON SOPORTE POR 36 MESES, PARA AMBIENTE PRODUCTIVO</t>
        </is>
      </c>
    </row>
    <row r="103">
      <c r="A103" s="0" t="inlineStr">
        <is>
          <t xml:space="preserve">5148-13-LP26</t>
        </is>
      </c>
      <c r="B103" s="4" t="inlineStr">
        <is>
          <t xml:space="preserve">ADQUISICIÓN SERVIDORES PARA PLATAFORMA IA DEL MP</t>
        </is>
      </c>
      <c r="C103" s="0">
        <v>2</v>
      </c>
      <c r="D103" s="4" t="inlineStr">
        <is>
          <t xml:space="preserve">Servidores</t>
        </is>
      </c>
      <c r="E103" s="4" t="inlineStr">
        <is>
          <t xml:space="preserve">Tecnologías de la información, telecomunicaciones y radiodifusión / Equipos informáticos y accesorios / Computadores</t>
        </is>
      </c>
      <c r="F103" s="0">
        <v>1.0</v>
      </c>
      <c r="G103" s="0" t="inlineStr">
        <is>
          <t xml:space="preserve">Unidad</t>
        </is>
      </c>
      <c r="H103" s="4" t="inlineStr">
        <is>
          <t xml:space="preserve">SERVIDOR PARA LA PLATAFORMA DE INTELIGENCIA ARTIFICIAL (IA) Y MACHINE LEARNING (ML), CON SOPORTE POR 36 MESES, PARA AMBIENTE DESARROLLO</t>
        </is>
      </c>
    </row>
    <row r="104">
      <c r="A104" s="0" t="inlineStr">
        <is>
          <t xml:space="preserve">1057499-59-LE26</t>
        </is>
      </c>
      <c r="B104" s="4" t="inlineStr">
        <is>
          <t xml:space="preserve">ADQ TENSIÓMETRO BALANZA DIGITAL Y ESFIGMOMANÓMETRO</t>
        </is>
      </c>
      <c r="C104" s="0">
        <v>1</v>
      </c>
      <c r="D104" s="4" t="inlineStr">
        <is>
          <t xml:space="preserve">Balanzas electrónicas de carga superior</t>
        </is>
      </c>
      <c r="E104" s="4" t="inlineStr">
        <is>
          <t xml:space="preserve">Equipamiento para laboratorios / Instrumentos de medida y experimentación / Instrumentos de medición de peso</t>
        </is>
      </c>
      <c r="F104" s="0">
        <v>200.0</v>
      </c>
      <c r="G104" s="0" t="inlineStr">
        <is>
          <t xml:space="preserve">Unidad</t>
        </is>
      </c>
      <c r="H104" s="4" t="inlineStr">
        <is>
          <t xml:space="preserve">ÍTEM N°1: BALANZA DIGITAL</t>
        </is>
      </c>
    </row>
    <row r="105">
      <c r="A105" s="0" t="inlineStr">
        <is>
          <t xml:space="preserve">1057499-59-LE26</t>
        </is>
      </c>
      <c r="B105" s="4" t="inlineStr">
        <is>
          <t xml:space="preserve">ADQ TENSIÓMETRO BALANZA DIGITAL Y ESFIGMOMANÓMETRO</t>
        </is>
      </c>
      <c r="C105" s="0">
        <v>2</v>
      </c>
      <c r="D105" s="4" t="inlineStr">
        <is>
          <t xml:space="preserve">Unidades electrónicas de presión sanguínea</t>
        </is>
      </c>
      <c r="E105" s="4" t="inlineStr">
        <is>
          <t xml:space="preserve">Equipamiento y suministros médicos / Productos para exámenes y control de pacientes / Unidades de presión sanguínea y productos relacionados</t>
        </is>
      </c>
      <c r="F105" s="0">
        <v>200.0</v>
      </c>
      <c r="G105" s="0" t="inlineStr">
        <is>
          <t xml:space="preserve">Unidad</t>
        </is>
      </c>
      <c r="H105" s="4" t="inlineStr">
        <is>
          <t xml:space="preserve">ÍTEM N°2: ESFIGMOMANÓMETRO AUSCULTATORIO CON MANGUITOS</t>
        </is>
      </c>
    </row>
    <row r="106">
      <c r="A106" s="0" t="inlineStr">
        <is>
          <t xml:space="preserve">1057499-59-LE26</t>
        </is>
      </c>
      <c r="B106" s="4" t="inlineStr">
        <is>
          <t xml:space="preserve">ADQ TENSIÓMETRO BALANZA DIGITAL Y ESFIGMOMANÓMETRO</t>
        </is>
      </c>
      <c r="C106" s="0">
        <v>3</v>
      </c>
      <c r="D106" s="4" t="inlineStr">
        <is>
          <t xml:space="preserve">Unidades de presión sanguínea aneroide</t>
        </is>
      </c>
      <c r="E106" s="4" t="inlineStr">
        <is>
          <t xml:space="preserve">Equipamiento y suministros médicos / Productos para exámenes y control de pacientes / Unidades de presión sanguínea y productos relacionados</t>
        </is>
      </c>
      <c r="F106" s="0">
        <v>200.0</v>
      </c>
      <c r="G106" s="0" t="inlineStr">
        <is>
          <t xml:space="preserve">Unidad</t>
        </is>
      </c>
      <c r="H106" s="4" t="inlineStr">
        <is>
          <t xml:space="preserve">ÍTEM N°3: TENSIÓMETRO DIGITAL</t>
        </is>
      </c>
    </row>
    <row r="107">
      <c r="A107" s="0" t="inlineStr">
        <is>
          <t xml:space="preserve">598-26-LE26</t>
        </is>
      </c>
      <c r="B107" s="4" t="inlineStr">
        <is>
          <t xml:space="preserve">Licencia Automatización de Procesos IFM por 36 mes</t>
        </is>
      </c>
      <c r="C107" s="0">
        <v>1</v>
      </c>
      <c r="D107" s="4" t="inlineStr">
        <is>
          <t xml:space="preserve">Software de gestión de licencias</t>
        </is>
      </c>
      <c r="E107" s="4" t="inlineStr">
        <is>
          <t xml:space="preserve">Tecnologías de la información, telecomunicaciones y radiodifusión / Software / Software de gestión</t>
        </is>
      </c>
      <c r="F107" s="0">
        <v>1.0</v>
      </c>
      <c r="G107" s="0" t="inlineStr">
        <is>
          <t xml:space="preserve">Unidad</t>
        </is>
      </c>
      <c r="H107" s="4" t="inlineStr">
        <is>
          <t xml:space="preserve">Licencia IFM POR 36 MESES, SEGÚN BASES DE LICITACIÓN.</t>
        </is>
      </c>
    </row>
    <row r="108">
      <c r="A108" s="0" t="inlineStr">
        <is>
          <t xml:space="preserve">792909-1-LE26</t>
        </is>
      </c>
      <c r="B108" s="4" t="inlineStr">
        <is>
          <t xml:space="preserve">ALMACENAJE DIGITALIZACIÓN Y CUSTODIA DE DOCUMENTO</t>
        </is>
      </c>
      <c r="C108" s="0">
        <v>1</v>
      </c>
      <c r="D108" s="4" t="inlineStr">
        <is>
          <t xml:space="preserve">Servicios de almacenaje de documentos</t>
        </is>
      </c>
      <c r="E108" s="4" t="inlineStr">
        <is>
          <t xml:space="preserve">Servicios de transporte, almacenaje y correo / Almacenaje / Depósito y almacenaje especializado</t>
        </is>
      </c>
      <c r="F108" s="0">
        <v>1.0</v>
      </c>
      <c r="G108" s="0" t="inlineStr">
        <is>
          <t xml:space="preserve">Unidad</t>
        </is>
      </c>
      <c r="H108" s="4" t="inlineStr">
        <is>
          <t xml:space="preserve">contratación del servicio de: ALMACENAJE, DIGITALIZACIÓN Y CUSTODIA DE DOCUMENTACIÓN FÍSICA, lo que fue debidamente autorizado por la Director Regional.</t>
        </is>
      </c>
    </row>
    <row r="109">
      <c r="A109" s="0" t="inlineStr">
        <is>
          <t xml:space="preserve">3337-21-LE26</t>
        </is>
      </c>
      <c r="B109" s="4" t="inlineStr">
        <is>
          <t xml:space="preserve">PLATAFORMA DIGITAL PARA EVALUACIÓN PSICOLOGICA</t>
        </is>
      </c>
      <c r="C109" s="0">
        <v>1</v>
      </c>
      <c r="D109" s="4" t="inlineStr">
        <is>
          <t xml:space="preserve">Exámenes médicos</t>
        </is>
      </c>
      <c r="E109" s="4" t="inlineStr">
        <is>
          <t xml:space="preserve">Salud, servicios sanitarios y alimentación / Medicina y servicios de salud / Evaluaciones de salud individuales</t>
        </is>
      </c>
      <c r="F109" s="0">
        <v>1.0</v>
      </c>
      <c r="G109" s="0" t="inlineStr">
        <is>
          <t xml:space="preserve">Unidad</t>
        </is>
      </c>
      <c r="H109" s="4" t="inlineStr">
        <is>
          <t xml:space="preserve">Contratación de plataforma digital para Evaluación psicológica, para el proceso de selección de personal.</t>
        </is>
      </c>
    </row>
    <row r="110">
      <c r="A110" s="0" t="inlineStr">
        <is>
          <t xml:space="preserve">2446-303-LE26</t>
        </is>
      </c>
      <c r="B110" s="4" t="inlineStr">
        <is>
          <t xml:space="preserve">SERVICIO MULTISTREAMING CON TRANSMISIÓN DIGITAL</t>
        </is>
      </c>
      <c r="C110" s="0">
        <v>1</v>
      </c>
      <c r="D110" s="4" t="inlineStr">
        <is>
          <t xml:space="preserve">Sistema de transmisión por secuencias de video</t>
        </is>
      </c>
      <c r="E110" s="4" t="inlineStr">
        <is>
          <t xml:space="preserve">Tecnologías de la información, telecomunicaciones y radiodifusión / Equipos, plataformas y accesorios de redes multimedia, voz y datos / Plataformas de mensajería por móvil</t>
        </is>
      </c>
      <c r="F110" s="0">
        <v>12.0</v>
      </c>
      <c r="G110" s="0" t="inlineStr">
        <is>
          <t xml:space="preserve">Unidad</t>
        </is>
      </c>
      <c r="H110" s="4" t="inlineStr">
        <is>
          <t xml:space="preserve">SERVICIO MULTISTREAMING CON TRANSMISIÓN DIGITAL E INTERNET SATELITAL PARA DIFUSIÓN DE ACTIVIDADES MUNICIPALES</t>
        </is>
      </c>
    </row>
    <row r="111">
      <c r="A111" s="0" t="inlineStr">
        <is>
          <t xml:space="preserve">2484-22-LE26</t>
        </is>
      </c>
      <c r="B111" s="4" t="inlineStr">
        <is>
          <t xml:space="preserve">SERVICIO DE ARRIENDO DE SOFTWARE CLOUD PARA CONTROL Y GESTION DE ASISTENCIA Y MANTENCION DE RELOJES BIOMETRICOS.</t>
        </is>
      </c>
      <c r="C111" s="0">
        <v>1</v>
      </c>
      <c r="D111" s="4" t="inlineStr">
        <is>
          <t xml:space="preserve">Reloj de control</t>
        </is>
      </c>
      <c r="E111" s="4" t="inlineStr">
        <is>
          <t xml:space="preserve">Equipos, accesorios y suministros de oficina / Maquinarias, suministros y accesorios de oficina / Máquinas y accesorios para registro de hora y asistencia en la oficina</t>
        </is>
      </c>
      <c r="F111" s="0">
        <v>1.0</v>
      </c>
      <c r="G111" s="0" t="inlineStr">
        <is>
          <t xml:space="preserve">Paquete</t>
        </is>
      </c>
      <c r="H111" s="4" t="inlineStr">
        <is>
          <t xml:space="preserve">SERVICIO DE ARRIENDO DE SOFTWARE CLOUD PARA CONTROL Y GESTION DE ASISTENCIA Y MANTENCION DE RELOJES BIOMETRICOS, SEGUN BASES ADMINISTRATIVAS Y TECNICAS.</t>
        </is>
      </c>
    </row>
    <row r="112">
      <c r="A112" s="0" t="inlineStr">
        <is>
          <t xml:space="preserve">2667-71-LR26</t>
        </is>
      </c>
      <c r="B112" s="4" t="inlineStr">
        <is>
          <t xml:space="preserve">ARRIENDO SOPORTE Y MANTENCIÓN DE CENTRAL TELEFONICA IP TELEFONOS IP Y PLATAFORMA DE CONTACT CENTER</t>
        </is>
      </c>
      <c r="C112" s="0">
        <v>1</v>
      </c>
      <c r="D112" s="4" t="inlineStr">
        <is>
          <t xml:space="preserve">Sistemas de alarma</t>
        </is>
      </c>
      <c r="E112" s="4" t="inlineStr">
        <is>
          <t xml:space="preserve">Equipos y suministros de defensa, orden público, protección y seguridad / Seguridad, vigilancia y detección / Equipo de vigilancia y detección</t>
        </is>
      </c>
      <c r="F112" s="0">
        <v>1.0</v>
      </c>
      <c r="G112" s="0" t="inlineStr">
        <is>
          <t xml:space="preserve">Global</t>
        </is>
      </c>
      <c r="H112" s="4" t="inlineStr">
        <is>
          <t xml:space="preserve">ARRIENDO, INSTALACIÓN, SOPORTE Y MANTENCIÓN DE CENTRAL TELEFÓNICA, EQUIPOS TELEFÓNICOS Y PLATAFORMA DE ATENCIÓN TELEFÓNICA</t>
        </is>
      </c>
    </row>
    <row r="113">
      <c r="A113" s="0" t="inlineStr">
        <is>
          <t xml:space="preserve">1230848-71-L126</t>
        </is>
      </c>
      <c r="B113" s="4" t="inlineStr">
        <is>
          <t xml:space="preserve">SERVICIO DE SOFTWARE PARA GESTIÓN DE FILAS TÓTEM</t>
        </is>
      </c>
      <c r="C113" s="0">
        <v>1</v>
      </c>
      <c r="D113" s="4" t="inlineStr">
        <is>
          <t xml:space="preserve">Software de clasificación o categorización</t>
        </is>
      </c>
      <c r="E113" s="4" t="inlineStr">
        <is>
          <t xml:space="preserve">Tecnologías de la información, telecomunicaciones y radiodifusión / Software / Software de consultas y gestión de datos</t>
        </is>
      </c>
      <c r="F113" s="0">
        <v>1.0</v>
      </c>
      <c r="G113" s="0" t="inlineStr">
        <is>
          <t xml:space="preserve">Global</t>
        </is>
      </c>
      <c r="H113" s="4" t="inlineStr">
        <is>
          <t xml:space="preserve">REMITASE AL NUMERAL 1.2 DE LAS BASES ADMINISTRATIVAS ESPECIALES "SISTEMA GESTIÓN DE FILAS"</t>
        </is>
      </c>
    </row>
    <row r="114">
      <c r="A114" s="0" t="inlineStr">
        <is>
          <t xml:space="preserve">608-197-LR26</t>
        </is>
      </c>
      <c r="B114" s="4" t="inlineStr">
        <is>
          <t xml:space="preserve">SERVICIO DE OPERACIÓN MANTENIMIENTO Y ACTUALIZACIÓN DE PLATAFORMAS TECNOLÓGICAS DE LA SALA DE CONTROL CENTRALIZADO DEL HOSPITAL DR. GUSTAVO FRICKE</t>
        </is>
      </c>
      <c r="C114" s="0">
        <v>1</v>
      </c>
      <c r="D114" s="4" t="inlineStr">
        <is>
          <t xml:space="preserve">Integración de sistemas</t>
        </is>
      </c>
      <c r="E114" s="4" t="inlineStr">
        <is>
          <t xml:space="preserve">Servicios basados en ingeniería, ciencias sociales y tecnología de la información / Servicios informáticos / Ingeniería en computación e informática</t>
        </is>
      </c>
      <c r="F114" s="0">
        <v>1.0</v>
      </c>
      <c r="G114" s="0" t="inlineStr">
        <is>
          <t xml:space="preserve">Unidad</t>
        </is>
      </c>
      <c r="H114" s="4" t="inlineStr">
        <is>
          <t xml:space="preserve">SERVICIO
DE OPERACIÓN, MANTENIMIENTO Y ACTUALIZACIÓN
DE PLATAFORMAS TECNOLÓGICAS DE LA SALA DE
CONTROL CENTRALIZADO DEL HOSPITAL DR.
GUSTAVO FRICKE (favor desglosar valores en anexo económico N°6)</t>
        </is>
      </c>
    </row>
    <row r="115">
      <c r="A115" s="0" t="inlineStr">
        <is>
          <t xml:space="preserve">1020-38-LP26</t>
        </is>
      </c>
      <c r="B115" s="4" t="inlineStr">
        <is>
          <t xml:space="preserve">Adquisición de Plataforma Next Generation Firewall</t>
        </is>
      </c>
      <c r="C115" s="0">
        <v>1</v>
      </c>
      <c r="D115" s="4" t="inlineStr">
        <is>
          <t xml:space="preserve">Equipo de seguridad de red de firewall</t>
        </is>
      </c>
      <c r="E115" s="4" t="inlineStr">
        <is>
          <t xml:space="preserve">Tecnologías de la información, telecomunicaciones y radiodifusión / Equipos, plataformas y accesorios de redes multimedia, voz y datos / Equipos de seguridad de red</t>
        </is>
      </c>
      <c r="F115" s="0">
        <v>2.0</v>
      </c>
      <c r="G115" s="0" t="inlineStr">
        <is>
          <t xml:space="preserve">Unidad</t>
        </is>
      </c>
      <c r="H115" s="4" t="inlineStr">
        <is>
          <t xml:space="preserve">Equipos.</t>
        </is>
      </c>
    </row>
    <row r="116">
      <c r="A116" s="0" t="inlineStr">
        <is>
          <t xml:space="preserve">1020-38-LP26</t>
        </is>
      </c>
      <c r="B116" s="4" t="inlineStr">
        <is>
          <t xml:space="preserve">Adquisición de Plataforma Next Generation Firewall</t>
        </is>
      </c>
      <c r="C116" s="0">
        <v>2</v>
      </c>
      <c r="D116" s="4" t="inlineStr">
        <is>
          <t xml:space="preserve">Software de vigilancia de redes</t>
        </is>
      </c>
      <c r="E116" s="4" t="inlineStr">
        <is>
          <t xml:space="preserve">Tecnologías de la información, telecomunicaciones y radiodifusión / Software / Software de administración de redes</t>
        </is>
      </c>
      <c r="F116" s="0">
        <v>1.0</v>
      </c>
      <c r="G116" s="0" t="inlineStr">
        <is>
          <t xml:space="preserve">Unidad</t>
        </is>
      </c>
      <c r="H116" s="4" t="inlineStr">
        <is>
          <t xml:space="preserve">Licenciamiento de software para la Plataforma Next Generation Firewall (NGFW)</t>
        </is>
      </c>
    </row>
    <row r="117">
      <c r="A117" s="0" t="inlineStr">
        <is>
          <t xml:space="preserve">3047-60-LE26</t>
        </is>
      </c>
      <c r="B117" s="4" t="inlineStr">
        <is>
          <t xml:space="preserve">EQUIPAMIENTO INFORMÁTICO PARA IMPLEMENTAR SERVIDOR EN EL CENTRO DE INNOVACIÓN TECNOLÓGICA DE LA ARMADA</t>
        </is>
      </c>
      <c r="C117" s="0">
        <v>1</v>
      </c>
      <c r="D117" s="4" t="inlineStr">
        <is>
          <t xml:space="preserve">Servidores</t>
        </is>
      </c>
      <c r="E117" s="4" t="inlineStr">
        <is>
          <t xml:space="preserve">Tecnologías de la información, telecomunicaciones y radiodifusión / Equipos informáticos y accesorios / Computadores</t>
        </is>
      </c>
      <c r="F117" s="0">
        <v>1.0</v>
      </c>
      <c r="G117" s="0" t="inlineStr">
        <is>
          <t xml:space="preserve">Unidad</t>
        </is>
      </c>
      <c r="H117" s="4" t="inlineStr">
        <is>
          <t xml:space="preserve">EQUIPAMIENTO INFORMATICO PARA IMPLEMENTAR UN SERVIDOR IA ON PREMISE DE ACUERDO A ESPECIFICACIONES ADMINISTRATIVAS,TÉCNICAS Y ANEXOS ADJUNTOS.</t>
        </is>
      </c>
    </row>
    <row r="118">
      <c r="A118" s="0" t="inlineStr">
        <is>
          <t xml:space="preserve">3671-80-LE26</t>
        </is>
      </c>
      <c r="B118" s="4" t="inlineStr">
        <is>
          <t xml:space="preserve">“HABILITACIÓN DE NUEVAS DEPENDENCIAS DE SEGURIDAD MUNICIPAL E INFORMÁTICA DE LA MUNICIPALIDAD DE CHILLÁN VIEJO”</t>
        </is>
      </c>
      <c r="C118" s="0">
        <v>1</v>
      </c>
      <c r="D118" s="4" t="inlineStr">
        <is>
          <t xml:space="preserve">Construcción de obras civiles</t>
        </is>
      </c>
      <c r="E118" s="4" t="inlineStr">
        <is>
          <t xml:space="preserve">Servicios de construcción y mantenimiento / Construcción de edificios en general / Construcción de obras civiles y infraestructuras</t>
        </is>
      </c>
      <c r="F118" s="0">
        <v>1.0</v>
      </c>
      <c r="G118" s="0" t="inlineStr">
        <is>
          <t xml:space="preserve">Unidad</t>
        </is>
      </c>
      <c r="H118" s="4" t="inlineStr">
        <is>
          <t xml:space="preserve">HABILITACION DE NUEVAS DEPENDENCIAS DE SEGURIDAD MUNICIPAL E INFORMATICA DE LA MUNICIPALIDAD DE CHILLAN VIEJO</t>
        </is>
      </c>
    </row>
    <row r="119">
      <c r="A119" s="0" t="inlineStr">
        <is>
          <t xml:space="preserve">577290-4-LP26</t>
        </is>
      </c>
      <c r="B119" s="4" t="inlineStr">
        <is>
          <t xml:space="preserve">RENOVACIÓN Y ADQUISICIÓN DE LICENCIAS DE SOFTWARE</t>
        </is>
      </c>
      <c r="C119" s="0">
        <v>1</v>
      </c>
      <c r="D119" s="4" t="inlineStr">
        <is>
          <t xml:space="preserve">Software de gestión de licencias</t>
        </is>
      </c>
      <c r="E119" s="4" t="inlineStr">
        <is>
          <t xml:space="preserve">Tecnologías de la información, telecomunicaciones y radiodifusión / Software / Software de gestión</t>
        </is>
      </c>
      <c r="F119" s="0">
        <v>4.0</v>
      </c>
      <c r="G119" s="0" t="inlineStr">
        <is>
          <t xml:space="preserve">Unidad</t>
        </is>
      </c>
      <c r="H119" s="4" t="inlineStr">
        <is>
          <t xml:space="preserve">DEVEXPRESS UNIVERSAL (o equivalente). Suscripción. 12 meses</t>
        </is>
      </c>
    </row>
    <row r="120">
      <c r="A120" s="0" t="inlineStr">
        <is>
          <t xml:space="preserve">577290-4-LP26</t>
        </is>
      </c>
      <c r="B120" s="4" t="inlineStr">
        <is>
          <t xml:space="preserve">RENOVACIÓN Y ADQUISICIÓN DE LICENCIAS DE SOFTWARE</t>
        </is>
      </c>
      <c r="C120" s="0">
        <v>2</v>
      </c>
      <c r="D120" s="4" t="inlineStr">
        <is>
          <t xml:space="preserve">Software de gestión de licencias</t>
        </is>
      </c>
      <c r="E120" s="4" t="inlineStr">
        <is>
          <t xml:space="preserve">Tecnologías de la información, telecomunicaciones y radiodifusión / Software / Software de gestión</t>
        </is>
      </c>
      <c r="F120" s="0">
        <v>1.0</v>
      </c>
      <c r="G120" s="0" t="inlineStr">
        <is>
          <t xml:space="preserve">Unidad</t>
        </is>
      </c>
      <c r="H120" s="4" t="inlineStr">
        <is>
          <t xml:space="preserve">PowerDesigner Enterprise Architect (o equivalente). Perpetua</t>
        </is>
      </c>
    </row>
    <row r="121">
      <c r="A121" s="0" t="inlineStr">
        <is>
          <t xml:space="preserve">577290-4-LP26</t>
        </is>
      </c>
      <c r="B121" s="4" t="inlineStr">
        <is>
          <t xml:space="preserve">RENOVACIÓN Y ADQUISICIÓN DE LICENCIAS DE SOFTWARE</t>
        </is>
      </c>
      <c r="C121" s="0">
        <v>3</v>
      </c>
      <c r="D121" s="4" t="inlineStr">
        <is>
          <t xml:space="preserve">Software de gestión de licencias</t>
        </is>
      </c>
      <c r="E121" s="4" t="inlineStr">
        <is>
          <t xml:space="preserve">Tecnologías de la información, telecomunicaciones y radiodifusión / Software / Software de gestión</t>
        </is>
      </c>
      <c r="F121" s="0">
        <v>4.0</v>
      </c>
      <c r="G121" s="0" t="inlineStr">
        <is>
          <t xml:space="preserve">Unidad</t>
        </is>
      </c>
      <c r="H121" s="4" t="inlineStr">
        <is>
          <t xml:space="preserve">TOAD FOR ORACLE DBA Edition (o equivalente). Suscripción. 12 meses</t>
        </is>
      </c>
    </row>
    <row r="122">
      <c r="A122" s="0" t="inlineStr">
        <is>
          <t xml:space="preserve">577290-4-LP26</t>
        </is>
      </c>
      <c r="B122" s="4" t="inlineStr">
        <is>
          <t xml:space="preserve">RENOVACIÓN Y ADQUISICIÓN DE LICENCIAS DE SOFTWARE</t>
        </is>
      </c>
      <c r="C122" s="0">
        <v>4</v>
      </c>
      <c r="D122" s="4" t="inlineStr">
        <is>
          <t xml:space="preserve">Software de gestión de licencias</t>
        </is>
      </c>
      <c r="E122" s="4" t="inlineStr">
        <is>
          <t xml:space="preserve">Tecnologías de la información, telecomunicaciones y radiodifusión / Software / Software de gestión</t>
        </is>
      </c>
      <c r="F122" s="0">
        <v>1.0</v>
      </c>
      <c r="G122" s="0" t="inlineStr">
        <is>
          <t xml:space="preserve">Unidad</t>
        </is>
      </c>
      <c r="H122" s="4" t="inlineStr">
        <is>
          <t xml:space="preserve">TOAD DATA STUDIO (o equivalente). Suscripción. 12 meses.</t>
        </is>
      </c>
    </row>
    <row r="123">
      <c r="A123" s="0" t="inlineStr">
        <is>
          <t xml:space="preserve">577290-4-LP26</t>
        </is>
      </c>
      <c r="B123" s="4" t="inlineStr">
        <is>
          <t xml:space="preserve">RENOVACIÓN Y ADQUISICIÓN DE LICENCIAS DE SOFTWARE</t>
        </is>
      </c>
      <c r="C123" s="0">
        <v>5</v>
      </c>
      <c r="D123" s="4" t="inlineStr">
        <is>
          <t xml:space="preserve">Software de gestión de licencias</t>
        </is>
      </c>
      <c r="E123" s="4" t="inlineStr">
        <is>
          <t xml:space="preserve">Tecnologías de la información, telecomunicaciones y radiodifusión / Software / Software de gestión</t>
        </is>
      </c>
      <c r="F123" s="0">
        <v>60.0</v>
      </c>
      <c r="G123" s="0" t="inlineStr">
        <is>
          <t xml:space="preserve">Unidad</t>
        </is>
      </c>
      <c r="H123" s="4" t="inlineStr">
        <is>
          <t xml:space="preserve">ADOBE ACROBAT PRO DC (o equivalente). Suscripción. 12 meses</t>
        </is>
      </c>
    </row>
    <row r="124">
      <c r="A124" s="0" t="inlineStr">
        <is>
          <t xml:space="preserve">577290-4-LP26</t>
        </is>
      </c>
      <c r="B124" s="4" t="inlineStr">
        <is>
          <t xml:space="preserve">RENOVACIÓN Y ADQUISICIÓN DE LICENCIAS DE SOFTWARE</t>
        </is>
      </c>
      <c r="C124" s="0">
        <v>6</v>
      </c>
      <c r="D124" s="4" t="inlineStr">
        <is>
          <t xml:space="preserve">Software de gestión de licencias</t>
        </is>
      </c>
      <c r="E124" s="4" t="inlineStr">
        <is>
          <t xml:space="preserve">Tecnologías de la información, telecomunicaciones y radiodifusión / Software / Software de gestión</t>
        </is>
      </c>
      <c r="F124" s="0">
        <v>8.0</v>
      </c>
      <c r="G124" s="0" t="inlineStr">
        <is>
          <t xml:space="preserve">Unidad</t>
        </is>
      </c>
      <c r="H124" s="4" t="inlineStr">
        <is>
          <t xml:space="preserve">ADOBE CREATIVE CLOUD (o equivalente). Suscripción. 12 meses</t>
        </is>
      </c>
    </row>
    <row r="125">
      <c r="A125" s="0" t="inlineStr">
        <is>
          <t xml:space="preserve">2788-54-LE26</t>
        </is>
      </c>
      <c r="B125" s="4" t="inlineStr">
        <is>
          <t xml:space="preserve">ADQUISICION Y RENOVACION DE SOFTWARES</t>
        </is>
      </c>
      <c r="C125" s="0">
        <v>1</v>
      </c>
      <c r="D125" s="4" t="inlineStr">
        <is>
          <t xml:space="preserve">Software de gestión de licencias</t>
        </is>
      </c>
      <c r="E125" s="4" t="inlineStr">
        <is>
          <t xml:space="preserve">Tecnologías de la información, telecomunicaciones y radiodifusión / Software / Software de gestión</t>
        </is>
      </c>
      <c r="F125" s="0">
        <v>1.0</v>
      </c>
      <c r="G125" s="0" t="inlineStr">
        <is>
          <t xml:space="preserve">Unidad</t>
        </is>
      </c>
      <c r="H125" s="4" t="inlineStr">
        <is>
          <t xml:space="preserve">linea 1 ADQUISICION Y RENOVACION DE SOFTWARES PARA UTILIZACION EN SECPLA, COMUNICACIONES, DOM Y OTRAS DEPENDENCIAS MUNICIPALES</t>
        </is>
      </c>
    </row>
    <row r="126">
      <c r="A126" s="0" t="inlineStr">
        <is>
          <t xml:space="preserve">2788-54-LE26</t>
        </is>
      </c>
      <c r="B126" s="4" t="inlineStr">
        <is>
          <t xml:space="preserve">ADQUISICION Y RENOVACION DE SOFTWARES</t>
        </is>
      </c>
      <c r="C126" s="0">
        <v>2</v>
      </c>
      <c r="D126" s="4" t="inlineStr">
        <is>
          <t xml:space="preserve">Software de gestión de licencias</t>
        </is>
      </c>
      <c r="E126" s="4" t="inlineStr">
        <is>
          <t xml:space="preserve">Tecnologías de la información, telecomunicaciones y radiodifusión / Software / Software de gestión</t>
        </is>
      </c>
      <c r="F126" s="0">
        <v>1.0</v>
      </c>
      <c r="G126" s="0" t="inlineStr">
        <is>
          <t xml:space="preserve">Unidad</t>
        </is>
      </c>
      <c r="H126" s="4" t="inlineStr">
        <is>
          <t xml:space="preserve">linea 2 Prezi Plus suscripción anual (1</t>
        </is>
      </c>
    </row>
    <row r="127">
      <c r="A127" s="0" t="inlineStr">
        <is>
          <t xml:space="preserve">2788-54-LE26</t>
        </is>
      </c>
      <c r="B127" s="4" t="inlineStr">
        <is>
          <t xml:space="preserve">ADQUISICION Y RENOVACION DE SOFTWARES</t>
        </is>
      </c>
      <c r="C127" s="0">
        <v>3</v>
      </c>
      <c r="D127" s="4" t="inlineStr">
        <is>
          <t xml:space="preserve">Software de gestión de licencias</t>
        </is>
      </c>
      <c r="E127" s="4" t="inlineStr">
        <is>
          <t xml:space="preserve">Tecnologías de la información, telecomunicaciones y radiodifusión / Software / Software de gestión</t>
        </is>
      </c>
      <c r="F127" s="0">
        <v>1.0</v>
      </c>
      <c r="G127" s="0" t="inlineStr">
        <is>
          <t xml:space="preserve">Unidad</t>
        </is>
      </c>
      <c r="H127" s="4" t="inlineStr">
        <is>
          <t xml:space="preserve">LINEA 3: OPEN AI chat GPT Business suscripción anual (2 licencias)</t>
        </is>
      </c>
    </row>
    <row r="128">
      <c r="A128" s="0" t="inlineStr">
        <is>
          <t xml:space="preserve">2020-23-LE26</t>
        </is>
      </c>
      <c r="B128" s="4" t="inlineStr">
        <is>
          <t xml:space="preserve">SERVICIOS DE DIGITALIZACIÓN Y EXTRACCIÓN DE TÉXTO.</t>
        </is>
      </c>
      <c r="C128" s="0">
        <v>1</v>
      </c>
      <c r="D128" s="4" t="inlineStr">
        <is>
          <t xml:space="preserve">Servicios de digitalización de documentos</t>
        </is>
      </c>
      <c r="E128" s="4" t="inlineStr">
        <is>
          <t xml:space="preserve">Servicios basados en ingeniería, ciencias sociales y tecnología de la información / Servicios informáticos / Servicios de datos</t>
        </is>
      </c>
      <c r="F128" s="0">
        <v>1.0</v>
      </c>
      <c r="G128" s="0" t="inlineStr">
        <is>
          <t xml:space="preserve">Unidad</t>
        </is>
      </c>
      <c r="H128" s="4" t="inlineStr">
        <is>
          <t xml:space="preserve">SERVICIO ESPECIALIZADO DE DIGITALIZACIÓN Y EXTRACCIÓN INTELIGENTE DE TEXTO, DEL ARCHIVO DE
PRENSA HISTÓRICA DE LA BIBLIOTECA DEL
CONGRESO NACIONAL.</t>
        </is>
      </c>
    </row>
    <row r="129">
      <c r="A129" s="0" t="inlineStr">
        <is>
          <t xml:space="preserve">2342-36-LR26</t>
        </is>
      </c>
      <c r="B129" s="4" t="inlineStr">
        <is>
          <t xml:space="preserve">CONCESIÓN DE ESTACIONAMIENTOS EN CALLES DE LA ZONA CENTRO DE LA COMUNA DE SAN BERNARDO APLICANDO SISTEMA DE CONTROL DE TIEMPO DE USO CAPTADORES DE DATOS</t>
        </is>
      </c>
      <c r="C129" s="0">
        <v>1</v>
      </c>
      <c r="D129" s="4" t="inlineStr">
        <is>
          <t xml:space="preserve">Estacionamientos</t>
        </is>
      </c>
      <c r="E129" s="4" t="inlineStr">
        <is>
          <t xml:space="preserve">Servicios de transporte, almacenaje y correo / Servicios de mantención o reparaciones de transportes / Combustible para vehículos de transporte, estacionamiento y otros servicios de apoyo</t>
        </is>
      </c>
      <c r="F129" s="0">
        <v>1.0</v>
      </c>
      <c r="G129" s="0" t="inlineStr">
        <is>
          <t xml:space="preserve">Unidad</t>
        </is>
      </c>
      <c r="H129" s="4" t="inlineStr">
        <is>
          <t xml:space="preserve">De acuerdo a lo indicado en Especificaciones Técnicas</t>
        </is>
      </c>
    </row>
    <row r="130">
      <c r="A130" s="0" t="inlineStr">
        <is>
          <t xml:space="preserve">3656-167-L126</t>
        </is>
      </c>
      <c r="B130" s="4" t="inlineStr">
        <is>
          <t xml:space="preserve">SERVICIO MESA DE AYUDA PLATAFORMA SIFIM</t>
        </is>
      </c>
      <c r="C130" s="0">
        <v>1</v>
      </c>
      <c r="D130" s="4" t="inlineStr">
        <is>
          <t xml:space="preserve">Profesionales</t>
        </is>
      </c>
      <c r="E130" s="4" t="inlineStr">
        <is>
          <t xml:space="preserve">Servicios profesionales, administrativos y consultorías de gestión empresarial / Servicios de recursos humanos / Contratación de personal</t>
        </is>
      </c>
      <c r="F130" s="0">
        <v>14.0</v>
      </c>
      <c r="G130" s="0" t="inlineStr">
        <is>
          <t xml:space="preserve">Mes</t>
        </is>
      </c>
      <c r="H130" s="4" t="inlineStr">
        <is>
          <t xml:space="preserve">SERVICIO MESA DE AYUDA PLATAFORMA SIFIM, SEGUN BASES ADMINISTRATIVAS.</t>
        </is>
      </c>
    </row>
    <row r="131">
      <c r="A131" s="0" t="inlineStr">
        <is>
          <t xml:space="preserve">5482-101-LR26</t>
        </is>
      </c>
      <c r="B131" s="4" t="inlineStr">
        <is>
          <t xml:space="preserve">Plataforma IA para video y seguridad urbana</t>
        </is>
      </c>
      <c r="C131" s="0">
        <v>1</v>
      </c>
      <c r="D131" s="4" t="inlineStr">
        <is>
          <t xml:space="preserve">Software de desarrollo de plataforma Web</t>
        </is>
      </c>
      <c r="E131" s="4" t="inlineStr">
        <is>
          <t xml:space="preserve">Tecnologías de la información, telecomunicaciones y radiodifusión / Software / Programas de desarrollo</t>
        </is>
      </c>
      <c r="F131" s="0">
        <v>1.0</v>
      </c>
      <c r="G131" s="0" t="inlineStr">
        <is>
          <t xml:space="preserve">Global</t>
        </is>
      </c>
      <c r="H131" s="4" t="inlineStr">
        <is>
          <t xml:space="preserve">Setup o configuración inicial del servicio e instalación</t>
        </is>
      </c>
    </row>
    <row r="132">
      <c r="A132" s="0" t="inlineStr">
        <is>
          <t xml:space="preserve">5482-101-LR26</t>
        </is>
      </c>
      <c r="B132" s="4" t="inlineStr">
        <is>
          <t xml:space="preserve">Plataforma IA para video y seguridad urbana</t>
        </is>
      </c>
      <c r="C132" s="0">
        <v>2</v>
      </c>
      <c r="D132" s="4" t="inlineStr">
        <is>
          <t xml:space="preserve">Software de desarrollo de plataforma Web</t>
        </is>
      </c>
      <c r="E132" s="4" t="inlineStr">
        <is>
          <t xml:space="preserve">Tecnologías de la información, telecomunicaciones y radiodifusión / Software / Programas de desarrollo</t>
        </is>
      </c>
      <c r="F132" s="0">
        <v>26.0</v>
      </c>
      <c r="G132" s="0" t="inlineStr">
        <is>
          <t xml:space="preserve">Mes</t>
        </is>
      </c>
      <c r="H132" s="4" t="inlineStr">
        <is>
          <t xml:space="preserve">Servicio mensual (Operación)</t>
        </is>
      </c>
    </row>
    <row r="133">
      <c r="A133" s="0" t="inlineStr">
        <is>
          <t xml:space="preserve">1622-22-LP26</t>
        </is>
      </c>
      <c r="B133" s="4" t="inlineStr">
        <is>
          <t xml:space="preserve">ARRIENDO SISTEMA DE INFORMACIÓN DE LABORATORIO HSV</t>
        </is>
      </c>
      <c r="C133" s="0">
        <v>1</v>
      </c>
      <c r="D133" s="4" t="inlineStr">
        <is>
          <t xml:space="preserve">Software del sistema de administración de bases de datos</t>
        </is>
      </c>
      <c r="E133" s="4" t="inlineStr">
        <is>
          <t xml:space="preserve">Tecnologías de la información, telecomunicaciones y radiodifusión / Software / Software de consultas y gestión de datos</t>
        </is>
      </c>
      <c r="F133" s="0">
        <v>1.0</v>
      </c>
      <c r="G133" s="0" t="inlineStr">
        <is>
          <t xml:space="preserve">Unidad</t>
        </is>
      </c>
      <c r="H133" s="4" t="inlineStr">
        <is>
          <t xml:space="preserve">ARRIENDO DE SISTEMA DE INFORMACIÓN DE LABORATORIO CLÍNICO (LIS) POR 36 MESES</t>
        </is>
      </c>
    </row>
    <row r="134">
      <c r="A134" s="0" t="inlineStr">
        <is>
          <t xml:space="preserve">634-92-LE26</t>
        </is>
      </c>
      <c r="B134" s="4" t="inlineStr">
        <is>
          <t xml:space="preserve">SISTEMA RADIOGRÁFICO ODONTOLÓGICO DIGITAL</t>
        </is>
      </c>
      <c r="C134" s="0">
        <v>1</v>
      </c>
      <c r="D134" s="4" t="inlineStr">
        <is>
          <t xml:space="preserve">Unidades de Rayos X dentales</t>
        </is>
      </c>
      <c r="E134" s="4" t="inlineStr">
        <is>
          <t xml:space="preserve">Equipamiento y suministros médicos / Equipos y suministros odontológicos / Equipo y suministros para imágenes dentales</t>
        </is>
      </c>
      <c r="F134" s="0">
        <v>1.0</v>
      </c>
      <c r="G134" s="0" t="inlineStr">
        <is>
          <t xml:space="preserve">Unidad</t>
        </is>
      </c>
      <c r="H134" s="4" t="inlineStr">
        <is>
          <t xml:space="preserve">Adquisición sistema radiográfico odontológico digital tipo Ortopantomógrafo con tecnología CBCT para el Servicio Dental del Hospital Penitenciario</t>
        </is>
      </c>
    </row>
    <row r="135">
      <c r="A135" s="0" t="inlineStr">
        <is>
          <t xml:space="preserve">752-39-LE26</t>
        </is>
      </c>
      <c r="B135" s="4" t="inlineStr">
        <is>
          <t xml:space="preserve">Adquisición y habilitación de Servidores para plataforma tecnológica</t>
        </is>
      </c>
      <c r="C135" s="0">
        <v>1</v>
      </c>
      <c r="D135" s="4" t="inlineStr">
        <is>
          <t xml:space="preserve">Servidores</t>
        </is>
      </c>
      <c r="E135" s="4" t="inlineStr">
        <is>
          <t xml:space="preserve">Tecnologías de la información, telecomunicaciones y radiodifusión / Equipos informáticos y accesorios / Computadores</t>
        </is>
      </c>
      <c r="F135" s="0">
        <v>1.0</v>
      </c>
      <c r="G135" s="0" t="inlineStr">
        <is>
          <t xml:space="preserve">Unidad</t>
        </is>
      </c>
      <c r="H135" s="4" t="inlineStr">
        <is>
          <t xml:space="preserve">Servicio de reposición, adquisición, instalación y habilitación de servidores, con migración de máquinas virtuales y continuidad operacional, para la plataforma tecnológica del Gobierno Regional de Los Lagos.</t>
        </is>
      </c>
    </row>
    <row r="136">
      <c r="A136" s="0" t="inlineStr">
        <is>
          <t xml:space="preserve">2403-73-LR26</t>
        </is>
      </c>
      <c r="B136" s="4" t="inlineStr">
        <is>
          <t xml:space="preserve">Servicios de conectividad telecomunicaciones operación de infraestructura y gestión de ciberseguridad.</t>
        </is>
      </c>
      <c r="C136" s="0">
        <v>1</v>
      </c>
      <c r="D136" s="4" t="inlineStr">
        <is>
          <t xml:space="preserve">Instalación de sistemas de seguridad</t>
        </is>
      </c>
      <c r="E136" s="4" t="inlineStr">
        <is>
          <t xml:space="preserve">Servicios de construcción y mantenimiento / Servicios de atención, mantenimiento y reparaciones de edificios / Servicios eléctricos</t>
        </is>
      </c>
      <c r="F136" s="0">
        <v>1.0</v>
      </c>
      <c r="G136" s="0" t="inlineStr">
        <is>
          <t xml:space="preserve">Global</t>
        </is>
      </c>
      <c r="H136"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37">
      <c r="A137" s="0" t="inlineStr">
        <is>
          <t xml:space="preserve">1057509-348-LE26</t>
        </is>
      </c>
      <c r="B137" s="4" t="inlineStr">
        <is>
          <t xml:space="preserve">CONTRATACIÓN DE SERVICIO DE CONECTIVIDAD DE DATOS PRIVADOS IPMPLS o EQUIVALENTE vps</t>
        </is>
      </c>
      <c r="C137" s="0">
        <v>1</v>
      </c>
      <c r="D137" s="4" t="inlineStr">
        <is>
          <t xml:space="preserve">Computadores personales</t>
        </is>
      </c>
      <c r="E137" s="4" t="inlineStr">
        <is>
          <t xml:space="preserve">Tecnologías de la información, telecomunicaciones y radiodifusión / Equipos informáticos y accesorios / Computadores</t>
        </is>
      </c>
      <c r="F137" s="0">
        <v>1.0</v>
      </c>
      <c r="G137" s="0" t="inlineStr">
        <is>
          <t xml:space="preserve">Unidad no definida</t>
        </is>
      </c>
      <c r="H137" s="4" t="inlineStr">
        <is>
          <t xml:space="preserve">Adquisición de servicio de conectividad de alta disponibilidad mediante conectividad de datos privados IP/MPLS o equivalente. OFERTAR VALORES EN ANEXO N°3: OFERTA ECONÓMICA. PPTO REFERENCIAL TOTAL $45.000.000.-</t>
        </is>
      </c>
    </row>
    <row r="138">
      <c r="A138" s="0" t="inlineStr">
        <is>
          <t xml:space="preserve">3755-6-LP26</t>
        </is>
      </c>
      <c r="B138" s="4" t="inlineStr">
        <is>
          <t xml:space="preserve">Serv datos de tránsito y tráfico de dispositivos</t>
        </is>
      </c>
      <c r="C138" s="0">
        <v>1</v>
      </c>
      <c r="D138" s="4" t="inlineStr">
        <is>
          <t xml:space="preserve">Software de extracción de datos</t>
        </is>
      </c>
      <c r="E138" s="4" t="inlineStr">
        <is>
          <t xml:space="preserve">Tecnologías de la información, telecomunicaciones y radiodifusión / Software / Software de consultas y gestión de datos</t>
        </is>
      </c>
      <c r="F138" s="0">
        <v>1.0</v>
      </c>
      <c r="G138" s="0" t="inlineStr">
        <is>
          <t xml:space="preserve">Global</t>
        </is>
      </c>
      <c r="H138" s="4" t="inlineStr">
        <is>
          <t xml:space="preserve">SERVICIO DE DATOS DE TRÁNSITO Y TRÁFICO PROVISTOS DESDE LA NAVEGACIÓN DE DISPOSITIVOS QUE CUENTEN CON GPS</t>
        </is>
      </c>
    </row>
    <row r="139">
      <c r="A139" s="0" t="inlineStr">
        <is>
          <t xml:space="preserve">765-25-L126</t>
        </is>
      </c>
      <c r="B139" s="4" t="inlineStr">
        <is>
          <t xml:space="preserve">Desarrollo de soluciones informáticas para la implementación del plan de transformación digital de la CONADI 2026-2029</t>
        </is>
      </c>
      <c r="C139" s="0">
        <v>1</v>
      </c>
      <c r="D139" s="4" t="inlineStr">
        <is>
          <t xml:space="preserve">Firmware y software de conmutación de WAN</t>
        </is>
      </c>
      <c r="E139" s="4" t="inlineStr">
        <is>
          <t xml:space="preserve">Tecnologías de la información, telecomunicaciones y radiodifusión / Software / Software para trabajo en redes</t>
        </is>
      </c>
      <c r="F139" s="0">
        <v>1.0</v>
      </c>
      <c r="G139" s="0" t="inlineStr">
        <is>
          <t xml:space="preserve">Unidad</t>
        </is>
      </c>
      <c r="H139" s="4" t="inlineStr">
        <is>
          <t xml:space="preserve">Desarrollo de soluciones informáticas para la implementación del plan de transformación digital</t>
        </is>
      </c>
    </row>
    <row r="140">
      <c r="A140" s="0" t="inlineStr">
        <is>
          <t xml:space="preserve">610-20-LE26</t>
        </is>
      </c>
      <c r="B140" s="4" t="inlineStr">
        <is>
          <t xml:space="preserve">Proyecto de Automatización y uso de Inteligencia Artificial en los modelos de Proyección de Demanda</t>
        </is>
      </c>
      <c r="C140" s="0">
        <v>1</v>
      </c>
      <c r="D140" s="4" t="inlineStr">
        <is>
          <t xml:space="preserve">Ingeniería eléctrica</t>
        </is>
      </c>
      <c r="E140" s="4" t="inlineStr">
        <is>
          <t xml:space="preserve">Servicios basados en ingeniería, ciencias sociales y tecnología de la información / Servicios profesionales de ingeniería / Ingeniería eléctrica y electrónica</t>
        </is>
      </c>
      <c r="F140" s="0">
        <v>1.0</v>
      </c>
      <c r="G140" s="0" t="inlineStr">
        <is>
          <t xml:space="preserve">Unidad</t>
        </is>
      </c>
      <c r="H140" s="4" t="inlineStr">
        <is>
          <t xml:space="preserve">Proyecto de Automatización y uso de Inteligencia Artificial en los modelos de Proyección de Demanda.</t>
        </is>
      </c>
    </row>
    <row r="141">
      <c r="A141" s="0" t="inlineStr">
        <is>
          <t xml:space="preserve">799595-5-LP26</t>
        </is>
      </c>
      <c r="B141" s="4" t="inlineStr">
        <is>
          <t xml:space="preserve">Servicio de Cloud Computing MINDEP</t>
        </is>
      </c>
      <c r="C141" s="0">
        <v>1</v>
      </c>
      <c r="D141" s="4" t="inlineStr">
        <is>
          <t xml:space="preserve">Centro de servicios de datos</t>
        </is>
      </c>
      <c r="E141" s="4" t="inlineStr">
        <is>
          <t xml:space="preserve">Servicios basados en ingeniería, ciencias sociales y tecnología de la información / Servicios informáticos / Servicios de datos</t>
        </is>
      </c>
      <c r="F141" s="0">
        <v>1.0</v>
      </c>
      <c r="G141" s="0" t="inlineStr">
        <is>
          <t xml:space="preserve">Unidad</t>
        </is>
      </c>
      <c r="H141" s="4" t="inlineStr">
        <is>
          <t xml:space="preserve">SERVICIO DE CLOUD COMPUTING Y SERVICIOS ASOCIADOS, PARA LA SUBSECRETARÍA DEL DEPORTE</t>
        </is>
      </c>
    </row>
    <row r="142">
      <c r="A142" s="0" t="inlineStr">
        <is>
          <t xml:space="preserve">2048-78-LE26</t>
        </is>
      </c>
      <c r="B142" s="4" t="inlineStr">
        <is>
          <t xml:space="preserve">COMPRA SERVICIOS PROFESIONALES PARA U.INFORMÁTICA</t>
        </is>
      </c>
      <c r="C142" s="0">
        <v>1</v>
      </c>
      <c r="D142" s="4" t="inlineStr">
        <is>
          <t xml:space="preserve">Profesionales</t>
        </is>
      </c>
      <c r="E142" s="4" t="inlineStr">
        <is>
          <t xml:space="preserve">Servicios profesionales, administrativos y consultorías de gestión empresarial / Servicios de recursos humanos / Contratación de personal</t>
        </is>
      </c>
      <c r="F142" s="0">
        <v>1.0</v>
      </c>
      <c r="G142" s="0" t="inlineStr">
        <is>
          <t xml:space="preserve">Hora/Hombre</t>
        </is>
      </c>
      <c r="H142" s="4" t="inlineStr">
        <is>
          <t xml:space="preserve">El Hospital de Ancud requiere la compra de servicios de un Profesional TIC’s para Desarrollo de Software y servicios digitales , para la Unidad de Tic´s.</t>
        </is>
      </c>
    </row>
    <row r="143">
      <c r="A143" s="0" t="inlineStr">
        <is>
          <t xml:space="preserve">4375-142-LE26</t>
        </is>
      </c>
      <c r="B143" s="4" t="inlineStr">
        <is>
          <t xml:space="preserve">ARRIENDO SOFTWARE Y EQUIPOS PARA SISTEMA GESTOR DE FILAS</t>
        </is>
      </c>
      <c r="C143" s="0">
        <v>1</v>
      </c>
      <c r="D143" s="4" t="inlineStr">
        <is>
          <t xml:space="preserve">Sistemas de control de formación de filas</t>
        </is>
      </c>
      <c r="E143" s="4" t="inlineStr">
        <is>
          <t xml:space="preserve">Equipos y suministros de defensa, orden público, protección y seguridad / Equipos para orden público / Equipo para control de disturbios</t>
        </is>
      </c>
      <c r="F143" s="0">
        <v>24.0</v>
      </c>
      <c r="G143" s="0" t="inlineStr">
        <is>
          <t xml:space="preserve">Mes</t>
        </is>
      </c>
      <c r="H143" s="4" t="inlineStr">
        <is>
          <t xml:space="preserve">ARRIENDO SOFTWARE Y EQUIPOS PARA SISTEMA GESTOR DE FILAS. Según ETT adjunta.</t>
        </is>
      </c>
    </row>
    <row r="144">
      <c r="A144" s="0" t="inlineStr">
        <is>
          <t xml:space="preserve">538598-41-LE26</t>
        </is>
      </c>
      <c r="B144" s="4" t="inlineStr">
        <is>
          <t xml:space="preserve">Servicio LME - arriendo de lectores huella digital</t>
        </is>
      </c>
      <c r="C144" s="0">
        <v>1</v>
      </c>
      <c r="D144" s="4" t="inlineStr">
        <is>
          <t xml:space="preserve">Software de sistema experto</t>
        </is>
      </c>
      <c r="E144" s="4" t="inlineStr">
        <is>
          <t xml:space="preserve">Tecnologías de la información, telecomunicaciones y radiodifusión / Software / Software de gestión</t>
        </is>
      </c>
      <c r="F144" s="0">
        <v>1.0</v>
      </c>
      <c r="G144" s="0" t="inlineStr">
        <is>
          <t xml:space="preserve">Unidad</t>
        </is>
      </c>
      <c r="H144" s="4" t="inlineStr">
        <is>
          <t xml:space="preserve">Línea N°1: Arriendo sistema de emisión de licencia médica electrónica.</t>
        </is>
      </c>
    </row>
    <row r="145">
      <c r="A145" s="0" t="inlineStr">
        <is>
          <t xml:space="preserve">538598-41-LE26</t>
        </is>
      </c>
      <c r="B145" s="4" t="inlineStr">
        <is>
          <t xml:space="preserve">Servicio LME - arriendo de lectores huella digital</t>
        </is>
      </c>
      <c r="C145" s="0">
        <v>2</v>
      </c>
      <c r="D145" s="4" t="inlineStr">
        <is>
          <t xml:space="preserve">Software del sistema de administración de bases de datos</t>
        </is>
      </c>
      <c r="E145" s="4" t="inlineStr">
        <is>
          <t xml:space="preserve">Tecnologías de la información, telecomunicaciones y radiodifusión / Software / Software de consultas y gestión de datos</t>
        </is>
      </c>
      <c r="F145" s="0">
        <v>1.0</v>
      </c>
      <c r="G145" s="0" t="inlineStr">
        <is>
          <t xml:space="preserve">Unidad</t>
        </is>
      </c>
      <c r="H145" s="4" t="inlineStr">
        <is>
          <t xml:space="preserve">Línea N°1: Arriendo sistema de consulta en línea de previsión de pacientes y datos demográficos.</t>
        </is>
      </c>
    </row>
    <row r="146">
      <c r="A146" s="0" t="inlineStr">
        <is>
          <t xml:space="preserve">538598-41-LE26</t>
        </is>
      </c>
      <c r="B146" s="4" t="inlineStr">
        <is>
          <t xml:space="preserve">Servicio LME - arriendo de lectores huella digital</t>
        </is>
      </c>
      <c r="C146" s="0">
        <v>3</v>
      </c>
      <c r="D146" s="4" t="inlineStr">
        <is>
          <t xml:space="preserve">Circuitos integrados digitales</t>
        </is>
      </c>
      <c r="E146" s="4" t="inlineStr">
        <is>
          <t xml:space="preserve">Artículos de electrónica / Circuitos electrónicos / Circuitos integrados, memorias y microprocesadores</t>
        </is>
      </c>
      <c r="F146" s="0">
        <v>28.0</v>
      </c>
      <c r="G146" s="0" t="inlineStr">
        <is>
          <t xml:space="preserve">Unidad</t>
        </is>
      </c>
      <c r="H146" s="4" t="inlineStr">
        <is>
          <t xml:space="preserve">Línea N°1: Arriendo lectores de huella digital.</t>
        </is>
      </c>
    </row>
    <row r="147">
      <c r="A147" s="0" t="inlineStr">
        <is>
          <t xml:space="preserve">434-110-LP26</t>
        </is>
      </c>
      <c r="B147" s="4" t="inlineStr">
        <is>
          <t xml:space="preserve">SISTEMA DE GESTIÓN DOCUMENTAL SEGÚN LEY N°21.180</t>
        </is>
      </c>
      <c r="C147" s="0">
        <v>1</v>
      </c>
      <c r="D147" s="4" t="inlineStr">
        <is>
          <t xml:space="preserve">Servicios de investigación o medición</t>
        </is>
      </c>
      <c r="E147" s="4" t="inlineStr">
        <is>
          <t xml:space="preserve">Artículos para estructuras, obras y construcciones / Construcciones permanentes / Construcciones para educación e investigación</t>
        </is>
      </c>
      <c r="F147" s="0">
        <v>1.0</v>
      </c>
      <c r="G147" s="0" t="inlineStr">
        <is>
          <t xml:space="preserve">Unidad</t>
        </is>
      </c>
      <c r="H147" s="4" t="inlineStr">
        <is>
          <t xml:space="preserve">SERVICIO INTEGRADO DE BRANDING ESTRATEGICO, SOCIAL LISTENING Y ESTRATEGIA CREATIVA APLICADA, SEGUN BASES TECNICAS ADJUNTAS</t>
        </is>
      </c>
    </row>
    <row r="148">
      <c r="A148" s="0" t="inlineStr">
        <is>
          <t xml:space="preserve">434-110-LP26</t>
        </is>
      </c>
      <c r="B148" s="4" t="inlineStr">
        <is>
          <t xml:space="preserve">SISTEMA DE GESTIÓN DOCUMENTAL SEGÚN LEY N°21.180</t>
        </is>
      </c>
      <c r="C148" s="0">
        <v>2</v>
      </c>
      <c r="D148" s="4" t="inlineStr">
        <is>
          <t xml:space="preserve">Servicios de investigación o medición</t>
        </is>
      </c>
      <c r="E148" s="4" t="inlineStr">
        <is>
          <t xml:space="preserve">Artículos para estructuras, obras y construcciones / Construcciones permanentes / Construcciones para educación e investigación</t>
        </is>
      </c>
      <c r="F148" s="0">
        <v>1.0</v>
      </c>
      <c r="G148" s="0" t="inlineStr">
        <is>
          <t xml:space="preserve">Unidad</t>
        </is>
      </c>
      <c r="H148" s="4" t="inlineStr">
        <is>
          <t xml:space="preserve">SISTEMA DE GESTIÓN DOCUMENTAL Y ACOMPAÑAMIENTO EN LA IMPLEMENTACIÓN DE LA LEY N°21.180 DE TRANSFORMACIÓN DIGITAL DEL ESTADO SEGÚN BASES TÉCNICAS ADJUNTAS (IGNORAR SERVICIO ANTERIOR).</t>
        </is>
      </c>
    </row>
    <row r="149">
      <c r="A149" s="0" t="inlineStr">
        <is>
          <t xml:space="preserve">2308-90-LE26</t>
        </is>
      </c>
      <c r="B149" s="4" t="inlineStr">
        <is>
          <t xml:space="preserve">REPARACIÓN MODERNIZACIÓN PUESTA EN MARCHA Y CERTIFICACIÓN DEL ASCENSOR DEL EDIFICIO CONSISTORIAL OSORNO</t>
        </is>
      </c>
      <c r="C149" s="0">
        <v>1</v>
      </c>
      <c r="D149" s="4" t="inlineStr">
        <is>
          <t xml:space="preserve">Servicios de mantenimiento de ascensores</t>
        </is>
      </c>
      <c r="E149" s="4" t="inlineStr">
        <is>
          <t xml:space="preserve">Servicios de construcción y mantenimiento / Servicios de atención, mantenimiento y reparaciones de edificios / Servicios de apoyo para la construcción</t>
        </is>
      </c>
      <c r="F149" s="0">
        <v>1.0</v>
      </c>
      <c r="G149" s="0" t="inlineStr">
        <is>
          <t xml:space="preserve">Unidad</t>
        </is>
      </c>
      <c r="H149" s="4" t="inlineStr">
        <is>
          <t xml:space="preserve">Reparación, Modernización, Puesta en Marcha y Certificación del Ascensor del Edificio Consistorial, Osorno.</t>
        </is>
      </c>
    </row>
    <row r="150">
      <c r="A150" s="0" t="inlineStr">
        <is>
          <t xml:space="preserve">622-64-L126</t>
        </is>
      </c>
      <c r="B150" s="4" t="inlineStr">
        <is>
          <t xml:space="preserve">CONTRATACIÓN DEL CURSO INTELIGENCIA ARTIFICIAL APLICADA A LA GESTIÓN GREMIAL Y LA FUNCIÓN PÚBLICA</t>
        </is>
      </c>
      <c r="C150" s="0">
        <v>1</v>
      </c>
      <c r="D150" s="4" t="inlineStr">
        <is>
          <t xml:space="preserve">Capacitación a empleados</t>
        </is>
      </c>
      <c r="E150" s="4" t="inlineStr">
        <is>
          <t xml:space="preserve">Educación, formación, entrenamiento y capacitación / Sistemas educativos complementarios / Educación de adultos</t>
        </is>
      </c>
      <c r="F150" s="0">
        <v>1.0</v>
      </c>
      <c r="G150" s="0" t="inlineStr">
        <is>
          <t xml:space="preserve">Unidad</t>
        </is>
      </c>
      <c r="H150" s="4" t="inlineStr">
        <is>
          <t xml:space="preserve">CURSO INTELIGENCIA ARTIFICIAL APLICADA A LA GESTIÓN GREMIAL Y LA FUNCIÓN PÚBLICA</t>
        </is>
      </c>
    </row>
    <row r="151">
      <c r="A151" s="0" t="inlineStr">
        <is>
          <t xml:space="preserve">5360-5-LP26</t>
        </is>
      </c>
      <c r="B151" s="4" t="inlineStr">
        <is>
          <t xml:space="preserve">SERVICIOS DE ELECTRICIDAD Y DATOS UTA - ARICA</t>
        </is>
      </c>
      <c r="C151" s="0">
        <v>1</v>
      </c>
      <c r="D151" s="4" t="inlineStr">
        <is>
          <t xml:space="preserve">Instalación o servicio de sistemas de energía eléctrica</t>
        </is>
      </c>
      <c r="E151" s="4" t="inlineStr">
        <is>
          <t xml:space="preserve">Servicios de construcción y mantenimiento / Servicios de atención, mantenimiento y reparaciones de edificios / Servicios eléctricos</t>
        </is>
      </c>
      <c r="F151" s="0">
        <v>1.0</v>
      </c>
      <c r="G151" s="0" t="inlineStr">
        <is>
          <t xml:space="preserve">Unidad</t>
        </is>
      </c>
      <c r="H151" s="4" t="inlineStr">
        <is>
          <t xml:space="preserve">Servicios de electricidad y datos, para dependencias de la Universidad de Tarapacá en Arica, según anexo N°6.</t>
        </is>
      </c>
    </row>
    <row r="152">
      <c r="A152" s="0" t="inlineStr">
        <is>
          <t xml:space="preserve">2981-287-LP26</t>
        </is>
      </c>
      <c r="B152" s="4" t="inlineStr">
        <is>
          <t xml:space="preserve">CIBERSEGURIDAD- CONSULTORIA</t>
        </is>
      </c>
      <c r="C152" s="0">
        <v>1</v>
      </c>
      <c r="D152" s="4" t="inlineStr">
        <is>
          <t xml:space="preserve">Asesorías en gestión estratégica</t>
        </is>
      </c>
      <c r="E152" s="4" t="inlineStr">
        <is>
          <t xml:space="preserve">Servicios profesionales, administrativos y consultorías de gestión empresarial / Consultorías o asesorías en gestión empresarial / Servicios de consultoría en gestión de empresas</t>
        </is>
      </c>
      <c r="F152" s="0">
        <v>1.0</v>
      </c>
      <c r="G152" s="0" t="inlineStr">
        <is>
          <t xml:space="preserve">Unidad</t>
        </is>
      </c>
      <c r="H152" s="4" t="inlineStr">
        <is>
          <t xml:space="preserve">CONTRATACION  DEL SERVICIO DE CONSULTORIA PARA LA IMPLEMENTACION DE UN SISTEMA DE SEGURIDAD DE LA INFORMACION PARA LA PDI.</t>
        </is>
      </c>
    </row>
    <row r="153">
      <c r="A153" s="0" t="inlineStr">
        <is>
          <t xml:space="preserve">622-66-LE26</t>
        </is>
      </c>
      <c r="B153" s="4" t="inlineStr">
        <is>
          <t xml:space="preserve">ADQUISICIÓN DE LICENCIAS PARA SOFTWARE DLP</t>
        </is>
      </c>
      <c r="C153" s="0">
        <v>1</v>
      </c>
      <c r="D153" s="4" t="inlineStr">
        <is>
          <t xml:space="preserve">Software de gestión de licencias</t>
        </is>
      </c>
      <c r="E153" s="4" t="inlineStr">
        <is>
          <t xml:space="preserve">Tecnologías de la información, telecomunicaciones y radiodifusión / Software / Software de gestión</t>
        </is>
      </c>
      <c r="F153" s="0">
        <v>1.0</v>
      </c>
      <c r="G153" s="0" t="inlineStr">
        <is>
          <t xml:space="preserve">Unidad</t>
        </is>
      </c>
      <c r="H153" s="4" t="inlineStr">
        <is>
          <t xml:space="preserve">Suscripción de Licenciamiento Endpoint DLP (Trellix DLP Endpoint Complete o equivalente), incluyendo implementación (revisar anexo 1 de las bases)</t>
        </is>
      </c>
    </row>
    <row r="154">
      <c r="A154" s="0" t="inlineStr">
        <is>
          <t xml:space="preserve">1057049-376-LP26</t>
        </is>
      </c>
      <c r="B154" s="4" t="inlineStr">
        <is>
          <t xml:space="preserve">PROV E INSTALACIÓN DE PLATAFORMAS DE SEGURIDAD PARA SHAFTS DEL HOSPITAL CLÍNICO SAN BORJA ARRIARÁN</t>
        </is>
      </c>
      <c r="C154" s="0">
        <v>1</v>
      </c>
      <c r="D154" s="4" t="inlineStr">
        <is>
          <t xml:space="preserve">Plataforma elevadora</t>
        </is>
      </c>
      <c r="E154" s="4" t="inlineStr">
        <is>
          <t xml:space="preserve">Maquinaria para construcción y edificación / Maquinaria pesada de construcción / Elevadores</t>
        </is>
      </c>
      <c r="F154" s="0">
        <v>1.0</v>
      </c>
      <c r="G154" s="0" t="inlineStr">
        <is>
          <t xml:space="preserve">Global</t>
        </is>
      </c>
      <c r="H154" s="4" t="inlineStr">
        <is>
          <t xml:space="preserve">Servicio de Provisión e Instalación de Plataformas de Seguridad para Shafts del Hospital Clínico San Borja Arriarán</t>
        </is>
      </c>
    </row>
    <row r="155">
      <c r="A155" s="0" t="inlineStr">
        <is>
          <t xml:space="preserve">1005498-24-LP26</t>
        </is>
      </c>
      <c r="B155" s="4" t="inlineStr">
        <is>
          <t xml:space="preserve">SUSCRIPCIÓN DE LICENCIAS EN MODALIDAD CLOUD</t>
        </is>
      </c>
      <c r="C155" s="0">
        <v>1</v>
      </c>
      <c r="D155" s="4" t="inlineStr">
        <is>
          <t xml:space="preserve">Up grade de software</t>
        </is>
      </c>
      <c r="E155" s="4" t="inlineStr">
        <is>
          <t xml:space="preserve">Servicios basados en ingeniería, ciencias sociales y tecnología de la información / Servicios informáticos / Mantenimiento y soporte de software</t>
        </is>
      </c>
      <c r="F155" s="0">
        <v>1.0</v>
      </c>
      <c r="G155" s="0" t="inlineStr">
        <is>
          <t xml:space="preserve">Global</t>
        </is>
      </c>
      <c r="H155" s="4" t="inlineStr">
        <is>
          <t xml:space="preserve">SUSCRIPCIÓN DE LICENCIAS EN MODALIDAD CLOUD COMPUTING SaaS CON SOPORTE LOCAL Y MANTENCIÓN</t>
        </is>
      </c>
    </row>
    <row r="156">
      <c r="A156" s="0" t="inlineStr">
        <is>
          <t xml:space="preserve">5512-18-LE26</t>
        </is>
      </c>
      <c r="B156" s="4" t="inlineStr">
        <is>
          <t xml:space="preserve">ADQUISICIÓN DE MINICOMPUTADORES PARA IA PROYECTO UTA 22991</t>
        </is>
      </c>
      <c r="C156" s="0">
        <v>1</v>
      </c>
      <c r="D156" s="4" t="inlineStr">
        <is>
          <t xml:space="preserve">Computadores de escritorio</t>
        </is>
      </c>
      <c r="E156" s="4" t="inlineStr">
        <is>
          <t xml:space="preserve">Tecnologías de la información, telecomunicaciones y radiodifusión / Equipos informáticos y accesorios / Computadores</t>
        </is>
      </c>
      <c r="F156" s="0">
        <v>3.0</v>
      </c>
      <c r="G156" s="0" t="inlineStr">
        <is>
          <t xml:space="preserve">Unidad</t>
        </is>
      </c>
      <c r="H156"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57">
      <c r="A157" s="0" t="inlineStr">
        <is>
          <t xml:space="preserve">1020-55-LE26</t>
        </is>
      </c>
      <c r="B157" s="4" t="inlineStr">
        <is>
          <t xml:space="preserve">Adq. Sopor. y Actual. Software ServiceTonic MOP.</t>
        </is>
      </c>
      <c r="C157" s="0">
        <v>1</v>
      </c>
      <c r="D157" s="4" t="inlineStr">
        <is>
          <t xml:space="preserve">Software de gestión de licencias</t>
        </is>
      </c>
      <c r="E157" s="4" t="inlineStr">
        <is>
          <t xml:space="preserve">Tecnologías de la información, telecomunicaciones y radiodifusión / Software / Software de gestión</t>
        </is>
      </c>
      <c r="F157" s="0">
        <v>50.0</v>
      </c>
      <c r="G157" s="0" t="inlineStr">
        <is>
          <t xml:space="preserve">Unidad</t>
        </is>
      </c>
      <c r="H157" s="4" t="inlineStr">
        <is>
          <t xml:space="preserve">Soporte y Actualizaciones Software ServiceTonic Licencias en modalidad On-Premise, usuarios nombrados, por 12 meses. Hasta el 19 de Octubre de 2027</t>
        </is>
      </c>
    </row>
    <row r="158">
      <c r="A158" s="0" t="inlineStr">
        <is>
          <t xml:space="preserve">1067778-4-LP26</t>
        </is>
      </c>
      <c r="B158" s="4" t="inlineStr">
        <is>
          <t xml:space="preserve">ARRIENDO CON OPCION DE COMPRA  DE SERVIDOR PARA IA</t>
        </is>
      </c>
      <c r="C158" s="0">
        <v>1</v>
      </c>
      <c r="D158" s="4" t="inlineStr">
        <is>
          <t xml:space="preserve">Servidores</t>
        </is>
      </c>
      <c r="E158" s="4" t="inlineStr">
        <is>
          <t xml:space="preserve">Tecnologías de la información, telecomunicaciones y radiodifusión / Equipos informáticos y accesorios / Computadores</t>
        </is>
      </c>
      <c r="F158" s="0">
        <v>60.0</v>
      </c>
      <c r="G158" s="0" t="inlineStr">
        <is>
          <t xml:space="preserve">Mes</t>
        </is>
      </c>
      <c r="H158" s="4" t="inlineStr">
        <is>
          <t xml:space="preserve">ARRIENDO CON OPCION DE COMPRA DE SERVIDOR PARA IA. VER BASES PARA MAYOR DETALLE</t>
        </is>
      </c>
    </row>
    <row r="159">
      <c r="A159" s="0" t="inlineStr">
        <is>
          <t xml:space="preserve">2656-77-LP26</t>
        </is>
      </c>
      <c r="B159" s="4" t="inlineStr">
        <is>
          <t xml:space="preserve">ARRIENDO SISTEMAS MUNICIPALES Y CLOUD COMPUTING</t>
        </is>
      </c>
      <c r="C159" s="0">
        <v>1</v>
      </c>
      <c r="D159" s="4" t="inlineStr">
        <is>
          <t xml:space="preserve">Software de sistema de archivos</t>
        </is>
      </c>
      <c r="E159" s="4" t="inlineStr">
        <is>
          <t xml:space="preserve">Tecnologías de la información, telecomunicaciones y radiodifusión / Software / Software de entorno operativo</t>
        </is>
      </c>
      <c r="F159" s="0">
        <v>1.0</v>
      </c>
      <c r="G159" s="0" t="inlineStr">
        <is>
          <t xml:space="preserve">Pack</t>
        </is>
      </c>
      <c r="H159"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60">
      <c r="A160" s="0" t="inlineStr">
        <is>
          <t xml:space="preserve">838794-12-LE26</t>
        </is>
      </c>
      <c r="B160" s="4" t="inlineStr">
        <is>
          <t xml:space="preserve">Tótem gestor de fila CAPSVILLA</t>
        </is>
      </c>
      <c r="C160" s="0">
        <v>1</v>
      </c>
      <c r="D160" s="4" t="inlineStr">
        <is>
          <t xml:space="preserve">Sistemas de control de formación de filas</t>
        </is>
      </c>
      <c r="E160" s="4" t="inlineStr">
        <is>
          <t xml:space="preserve">Equipos y suministros de defensa, orden público, protección y seguridad / Equipos para orden público / Equipo para control de disturbios</t>
        </is>
      </c>
      <c r="F160" s="0">
        <v>1.0</v>
      </c>
      <c r="G160" s="0" t="inlineStr">
        <is>
          <t xml:space="preserve">Unidad</t>
        </is>
      </c>
      <c r="H160" s="4" t="inlineStr">
        <is>
          <t xml:space="preserve">servicio de tótem gestor de filas para el Centro de Atención Primaria de Salud de Villa Alemana</t>
        </is>
      </c>
    </row>
    <row r="161">
      <c r="A161" s="0" t="inlineStr">
        <is>
          <t xml:space="preserve">976-18-O126</t>
        </is>
      </c>
      <c r="B161" s="4" t="inlineStr">
        <is>
          <t xml:space="preserve">ATIF Ampliación Plataformas Comercial y General Ad. El Loa</t>
        </is>
      </c>
      <c r="C161" s="0">
        <v>1</v>
      </c>
      <c r="D161" s="4" t="inlineStr">
        <is>
          <t xml:space="preserve">Licitación Pública de Consultoria</t>
        </is>
      </c>
      <c r="E161" s="4" t="inlineStr">
        <is>
          <t xml:space="preserve">Consultoria / Consultoria / Planificación y Factibilidad</t>
        </is>
      </c>
      <c r="F161" s="0">
        <v>1.0</v>
      </c>
      <c r="G161" s="0" t="inlineStr">
        <is>
          <t xml:space="preserve">Unidad</t>
        </is>
      </c>
      <c r="H161" s="4" t="inlineStr">
        <is>
          <t xml:space="preserve">Licitación Pública de Consultoria</t>
        </is>
      </c>
    </row>
    <row r="162">
      <c r="A162" s="0" t="inlineStr">
        <is>
          <t xml:space="preserve">976-15-O126</t>
        </is>
      </c>
      <c r="B162" s="4" t="inlineStr">
        <is>
          <t xml:space="preserve">Ampliación Plataformas Comercial y General Ad. El Loa</t>
        </is>
      </c>
      <c r="C162" s="0">
        <v>1</v>
      </c>
      <c r="D162" s="4" t="inlineStr">
        <is>
          <t xml:space="preserve">Licitación Pública de Obra</t>
        </is>
      </c>
      <c r="E162" s="4" t="inlineStr">
        <is>
          <t xml:space="preserve">Consultoria / Consultoria / Planificación y Factibilidad</t>
        </is>
      </c>
      <c r="F162" s="0">
        <v>1.0</v>
      </c>
      <c r="G162" s="0" t="inlineStr">
        <is>
          <t xml:space="preserve">Unidad</t>
        </is>
      </c>
      <c r="H162" s="4" t="inlineStr">
        <is>
          <t xml:space="preserve">Licitación Pública de Obra</t>
        </is>
      </c>
    </row>
    <row r="163">
      <c r="A163" s="0" t="inlineStr">
        <is>
          <t xml:space="preserve">2490-91-LP26</t>
        </is>
      </c>
      <c r="B163" s="4" t="inlineStr">
        <is>
          <t xml:space="preserve">ARRIENDO SOPORTE Y MANTENCIÓN DE GABINETES PSICOSENSOMÉTRICOS Y EQUIPOS COMPUTACIONALES CON SOFTWARE SPI INTEGRADO 2027-2031</t>
        </is>
      </c>
      <c r="C163" s="0">
        <v>1</v>
      </c>
      <c r="D163" s="4" t="inlineStr">
        <is>
          <t xml:space="preserve">Señales de tránsito</t>
        </is>
      </c>
      <c r="E163" s="4" t="inlineStr">
        <is>
          <t xml:space="preserve">Equipos y suministros de defensa, orden público, protección y seguridad / Seguridad y control público / Control de tráfico</t>
        </is>
      </c>
      <c r="F163" s="0">
        <v>1.0</v>
      </c>
      <c r="G163" s="0" t="inlineStr">
        <is>
          <t xml:space="preserve">Global</t>
        </is>
      </c>
      <c r="H163" s="4" t="inlineStr">
        <is>
          <t xml:space="preserve">“ARRIENDO, SOPORTE Y MANTENCIÓN DE GABINETES PSICOSENSOMÉTRICOS Y EQUIPOS COMPUTACIONALES CON SOFTWARE SPI INTEGRADO 2027-2031”</t>
        </is>
      </c>
    </row>
    <row r="164">
      <c r="A164" s="0" t="inlineStr">
        <is>
          <t xml:space="preserve">2982-48-LE26</t>
        </is>
      </c>
      <c r="B164" s="4" t="inlineStr">
        <is>
          <t xml:space="preserve">SERVICIO DE RENOVACIÓN Y ADQUISICIÓN DE LICENCIAS SOFTWARE DETEP - JENAED</t>
        </is>
      </c>
      <c r="C164" s="0">
        <v>1</v>
      </c>
      <c r="D164" s="4" t="inlineStr">
        <is>
          <t xml:space="preserve">Software de gestión de licencias</t>
        </is>
      </c>
      <c r="E164" s="4" t="inlineStr">
        <is>
          <t xml:space="preserve">Tecnologías de la información, telecomunicaciones y radiodifusión / Software / Software de gestión</t>
        </is>
      </c>
      <c r="F164" s="0">
        <v>1.0</v>
      </c>
      <c r="G164" s="0" t="inlineStr">
        <is>
          <t xml:space="preserve">Kit</t>
        </is>
      </c>
      <c r="H164" s="4" t="inlineStr">
        <is>
          <t xml:space="preserve">SEGÚN LISTADO DETALLADO EN BASES DE LICITACIÓN</t>
        </is>
      </c>
    </row>
    <row r="165">
      <c r="A165" s="0" t="inlineStr">
        <is>
          <t xml:space="preserve">5441-12-LP26</t>
        </is>
      </c>
      <c r="B165" s="4" t="inlineStr">
        <is>
          <t xml:space="preserve">Generador 500 kVA y Tablero de Transf. Autom. 800A</t>
        </is>
      </c>
      <c r="C165" s="0">
        <v>1</v>
      </c>
      <c r="D165" s="4" t="inlineStr">
        <is>
          <t xml:space="preserve">Generadores diesel</t>
        </is>
      </c>
      <c r="E165" s="4" t="inlineStr">
        <is>
          <t xml:space="preserve">Maquinaria para generación y distribución de energía / Transmisión de energía eléctrica, mecánica y cinética / Grupos electrógenos</t>
        </is>
      </c>
      <c r="F165" s="0">
        <v>1.0</v>
      </c>
      <c r="G165" s="0" t="inlineStr">
        <is>
          <t xml:space="preserve">Unidad</t>
        </is>
      </c>
      <c r="H165" s="4" t="inlineStr">
        <is>
          <t xml:space="preserve">GENERADOR DE 500 kVA, SEGÚN BASES ADMINISTRATIVAS Y TÉCNICAS.</t>
        </is>
      </c>
    </row>
    <row r="166">
      <c r="A166" s="0" t="inlineStr">
        <is>
          <t xml:space="preserve">5441-12-LP26</t>
        </is>
      </c>
      <c r="B166" s="4" t="inlineStr">
        <is>
          <t xml:space="preserve">Generador 500 kVA y Tablero de Transf. Autom. 800A</t>
        </is>
      </c>
      <c r="C166" s="0">
        <v>2</v>
      </c>
      <c r="D166" s="4" t="inlineStr">
        <is>
          <t xml:space="preserve">Paneles de control eléctrico para generadores</t>
        </is>
      </c>
      <c r="E166" s="4" t="inlineStr">
        <is>
          <t xml:space="preserve">Maquinaria para generación y distribución de energía / Generación de energía / Equipo para control de producción de energía</t>
        </is>
      </c>
      <c r="F166" s="0">
        <v>1.0</v>
      </c>
      <c r="G166" s="0" t="inlineStr">
        <is>
          <t xml:space="preserve">Unidad</t>
        </is>
      </c>
      <c r="H166" s="4" t="inlineStr">
        <is>
          <t xml:space="preserve">TABLERO DE TRANSFERENCIA AUTOMÁTICA, SEGÚN BASES ADMINISTRATIVAS Y TÉCNICAS.</t>
        </is>
      </c>
    </row>
    <row r="167">
      <c r="A167" s="0" t="inlineStr">
        <is>
          <t xml:space="preserve">587-47-LE26</t>
        </is>
      </c>
      <c r="B167" s="4" t="inlineStr">
        <is>
          <t xml:space="preserve">RENOVACIÓN DE LICENCIAS DE SOFTWARE</t>
        </is>
      </c>
      <c r="C167" s="0">
        <v>1</v>
      </c>
      <c r="D167" s="4" t="inlineStr">
        <is>
          <t xml:space="preserve">Software de gestión de licencias</t>
        </is>
      </c>
      <c r="E167" s="4" t="inlineStr">
        <is>
          <t xml:space="preserve">Tecnologías de la información, telecomunicaciones y radiodifusión / Software / Software de gestión</t>
        </is>
      </c>
      <c r="F167" s="0">
        <v>12.0</v>
      </c>
      <c r="G167" s="0" t="inlineStr">
        <is>
          <t xml:space="preserve">Unidad</t>
        </is>
      </c>
      <c r="H167"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68">
      <c r="A168" s="0" t="inlineStr">
        <is>
          <t xml:space="preserve">2735-149-LR26</t>
        </is>
      </c>
      <c r="B168" s="4" t="inlineStr">
        <is>
          <t xml:space="preserve">Servicio de Software de Gestión y Registro Clinico</t>
        </is>
      </c>
      <c r="C168" s="0">
        <v>1</v>
      </c>
      <c r="D168" s="4" t="inlineStr">
        <is>
          <t xml:space="preserve">Software médico</t>
        </is>
      </c>
      <c r="E168" s="4" t="inlineStr">
        <is>
          <t xml:space="preserve">Tecnologías de la información, telecomunicaciones y radiodifusión / Software / Software específico para la industria</t>
        </is>
      </c>
      <c r="F168" s="0">
        <v>1.0</v>
      </c>
      <c r="G168" s="0" t="inlineStr">
        <is>
          <t xml:space="preserve">Unidad</t>
        </is>
      </c>
      <c r="H168"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69">
      <c r="A169" s="0" t="inlineStr">
        <is>
          <t xml:space="preserve">519302-9-LE26</t>
        </is>
      </c>
      <c r="B169" s="4" t="inlineStr">
        <is>
          <t xml:space="preserve">DISEÑO IMPLEMENTACIÓN MEDICION MARKETING DIGITAL</t>
        </is>
      </c>
      <c r="C169" s="0">
        <v>1</v>
      </c>
      <c r="D169" s="4" t="inlineStr">
        <is>
          <t xml:space="preserve">Campañas publicitarias o de marketing</t>
        </is>
      </c>
      <c r="E169" s="4" t="inlineStr">
        <is>
          <t xml:space="preserve">Servicios profesionales, administrativos y consultorías de gestión empresarial / Servicios para la comercialización y distribución / Ventas y marketing</t>
        </is>
      </c>
      <c r="F169" s="0">
        <v>1.0</v>
      </c>
      <c r="G169" s="0" t="inlineStr">
        <is>
          <t xml:space="preserve">Unidad</t>
        </is>
      </c>
      <c r="H169" s="4" t="inlineStr">
        <is>
          <t xml:space="preserve">DISEÑO, PLANIFICACIÓN, IMPLEMENTACIÓN, ADMINISTRACIÓN, OPTIMIZACIÓN Y MEDICIÓN DE CAMPAÑAS DE MARKETING DIGITAL</t>
        </is>
      </c>
    </row>
    <row r="170">
      <c r="A170" s="0" t="inlineStr">
        <is>
          <t xml:space="preserve">621-909-LR26</t>
        </is>
      </c>
      <c r="B170" s="4" t="inlineStr">
        <is>
          <t xml:space="preserve">TERMOGRAFO DIGITAL MONITOREO TEMPERATURA 1000023277</t>
        </is>
      </c>
      <c r="C170" s="0">
        <v>1</v>
      </c>
      <c r="D170" s="4" t="inlineStr">
        <is>
          <t xml:space="preserve">Termómetros de tele indicación</t>
        </is>
      </c>
      <c r="E170" s="4" t="inlineStr">
        <is>
          <t xml:space="preserve">Equipamiento para laboratorios / Instrumentos de medida y experimentación / Instrumentos para medir temperatura y calor</t>
        </is>
      </c>
      <c r="F170" s="0">
        <v>3000.0</v>
      </c>
      <c r="G170" s="0" t="inlineStr">
        <is>
          <t xml:space="preserve">Unidad</t>
        </is>
      </c>
      <c r="H170" s="4" t="inlineStr">
        <is>
          <t xml:space="preserve">TERMOGRAFO DIGITAL MONITOREO TEMPERATURA; 100005575</t>
        </is>
      </c>
    </row>
    <row r="171">
      <c r="A171" s="0" t="inlineStr">
        <is>
          <t xml:space="preserve">2426-52-LR26</t>
        </is>
      </c>
      <c r="B171" s="4" t="inlineStr">
        <is>
          <t xml:space="preserve">DATACENTER ENLACES DE DATOS TELEFONIA E INTERNET</t>
        </is>
      </c>
      <c r="C171" s="0">
        <v>1</v>
      </c>
      <c r="D171" s="4" t="inlineStr">
        <is>
          <t xml:space="preserve">Centro de servicios de datos</t>
        </is>
      </c>
      <c r="E171" s="4" t="inlineStr">
        <is>
          <t xml:space="preserve">Servicios basados en ingeniería, ciencias sociales y tecnología de la información / Servicios informáticos / Servicios de datos</t>
        </is>
      </c>
      <c r="F171" s="0">
        <v>1.0</v>
      </c>
      <c r="G171" s="0" t="inlineStr">
        <is>
          <t xml:space="preserve">Unidad</t>
        </is>
      </c>
      <c r="H171" s="4"/>
    </row>
    <row r="172">
      <c r="A172" s="0" t="inlineStr">
        <is>
          <t xml:space="preserve">2770-154-LP26</t>
        </is>
      </c>
      <c r="B172" s="4" t="inlineStr">
        <is>
          <t xml:space="preserve">SERVICIOS DE TELEFONÍA Y DATOS MÓVILES</t>
        </is>
      </c>
      <c r="C172" s="0">
        <v>1</v>
      </c>
      <c r="D172" s="4" t="inlineStr">
        <is>
          <t xml:space="preserve">Servicios de telefonía móvil</t>
        </is>
      </c>
      <c r="E172" s="4" t="inlineStr">
        <is>
          <t xml:space="preserve">Servicios básicos y de información pública / Telecomunicaciones / Comunicaciones móviles</t>
        </is>
      </c>
      <c r="F172" s="0">
        <v>1.0</v>
      </c>
      <c r="G172" s="0" t="inlineStr">
        <is>
          <t xml:space="preserve">Global</t>
        </is>
      </c>
      <c r="H172" s="4" t="inlineStr">
        <is>
          <t xml:space="preserve">Servicio de telefonía y datos móviles, conforme a bases de licitación</t>
        </is>
      </c>
    </row>
    <row r="173">
      <c r="A173" s="0" t="inlineStr">
        <is>
          <t xml:space="preserve">654478-7-LP26</t>
        </is>
      </c>
      <c r="B173" s="4" t="inlineStr">
        <is>
          <t xml:space="preserve">RENOVACIÓN DE SOPORTE DE LICENCIAS DE SOFTWARE</t>
        </is>
      </c>
      <c r="C173" s="0">
        <v>1</v>
      </c>
      <c r="D173" s="4" t="inlineStr">
        <is>
          <t xml:space="preserve">Software de gestión de licencias</t>
        </is>
      </c>
      <c r="E173" s="4" t="inlineStr">
        <is>
          <t xml:space="preserve">Tecnologías de la información, telecomunicaciones y radiodifusión / Software / Software de gestión</t>
        </is>
      </c>
      <c r="F173" s="0">
        <v>1.0</v>
      </c>
      <c r="G173" s="0" t="inlineStr">
        <is>
          <t xml:space="preserve">Unidad</t>
        </is>
      </c>
      <c r="H173" s="4" t="inlineStr">
        <is>
          <t xml:space="preserve">Línea N° 1: Renovación de Soporte de Licencias Backup Exec</t>
        </is>
      </c>
    </row>
    <row r="174">
      <c r="A174" s="0" t="inlineStr">
        <is>
          <t xml:space="preserve">654478-7-LP26</t>
        </is>
      </c>
      <c r="B174" s="4" t="inlineStr">
        <is>
          <t xml:space="preserve">RENOVACIÓN DE SOPORTE DE LICENCIAS DE SOFTWARE</t>
        </is>
      </c>
      <c r="C174" s="0">
        <v>2</v>
      </c>
      <c r="D174" s="4" t="inlineStr">
        <is>
          <t xml:space="preserve">Software de gestión de licencias</t>
        </is>
      </c>
      <c r="E174" s="4" t="inlineStr">
        <is>
          <t xml:space="preserve">Tecnologías de la información, telecomunicaciones y radiodifusión / Software / Software de gestión</t>
        </is>
      </c>
      <c r="F174" s="0">
        <v>1.0</v>
      </c>
      <c r="G174" s="0" t="inlineStr">
        <is>
          <t xml:space="preserve">Unidad</t>
        </is>
      </c>
      <c r="H174" s="4" t="inlineStr">
        <is>
          <t xml:space="preserve">Línea N°2: Renovación de suscripción de Soporte de Licencias InvGate Service-Desk</t>
        </is>
      </c>
    </row>
    <row r="175">
      <c r="A175" s="0" t="inlineStr">
        <is>
          <t xml:space="preserve">654478-7-LP26</t>
        </is>
      </c>
      <c r="B175" s="4" t="inlineStr">
        <is>
          <t xml:space="preserve">RENOVACIÓN DE SOPORTE DE LICENCIAS DE SOFTWARE</t>
        </is>
      </c>
      <c r="C175" s="0">
        <v>3</v>
      </c>
      <c r="D175" s="4" t="inlineStr">
        <is>
          <t xml:space="preserve">Software de gestión de licencias</t>
        </is>
      </c>
      <c r="E175" s="4" t="inlineStr">
        <is>
          <t xml:space="preserve">Tecnologías de la información, telecomunicaciones y radiodifusión / Software / Software de gestión</t>
        </is>
      </c>
      <c r="F175" s="0">
        <v>1.0</v>
      </c>
      <c r="G175" s="0" t="inlineStr">
        <is>
          <t xml:space="preserve">Unidad</t>
        </is>
      </c>
      <c r="H175" s="4" t="inlineStr">
        <is>
          <t xml:space="preserve">Línea N°3: Renovación de Suscripción de licencia API Google Maps</t>
        </is>
      </c>
    </row>
    <row r="176">
      <c r="A176" s="0" t="inlineStr">
        <is>
          <t xml:space="preserve">654478-7-LP26</t>
        </is>
      </c>
      <c r="B176" s="4" t="inlineStr">
        <is>
          <t xml:space="preserve">RENOVACIÓN DE SOPORTE DE LICENCIAS DE SOFTWARE</t>
        </is>
      </c>
      <c r="C176" s="0">
        <v>4</v>
      </c>
      <c r="D176" s="4" t="inlineStr">
        <is>
          <t xml:space="preserve">Software de gestión de licencias</t>
        </is>
      </c>
      <c r="E176" s="4" t="inlineStr">
        <is>
          <t xml:space="preserve">Tecnologías de la información, telecomunicaciones y radiodifusión / Software / Software de gestión</t>
        </is>
      </c>
      <c r="F176" s="0">
        <v>1.0</v>
      </c>
      <c r="G176" s="0" t="inlineStr">
        <is>
          <t xml:space="preserve">Unidad</t>
        </is>
      </c>
      <c r="H176" s="4" t="inlineStr">
        <is>
          <t xml:space="preserve">Línea N°4: Renovación de Suscripción de Soporte de Licencias Red Hat Linux</t>
        </is>
      </c>
    </row>
    <row r="177">
      <c r="A177" s="0" t="inlineStr">
        <is>
          <t xml:space="preserve">654478-7-LP26</t>
        </is>
      </c>
      <c r="B177" s="4" t="inlineStr">
        <is>
          <t xml:space="preserve">RENOVACIÓN DE SOPORTE DE LICENCIAS DE SOFTWARE</t>
        </is>
      </c>
      <c r="C177" s="0">
        <v>5</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Unidad</t>
        </is>
      </c>
      <c r="H177" s="4" t="inlineStr">
        <is>
          <t xml:space="preserve">Línea N°5: Renovación y Adquisición de Suscripción, Soporte y Migración hacia Qlik Cloud Analytics</t>
        </is>
      </c>
    </row>
    <row r="178">
      <c r="A178" s="0" t="inlineStr">
        <is>
          <t xml:space="preserve">654478-7-LP26</t>
        </is>
      </c>
      <c r="B178" s="4" t="inlineStr">
        <is>
          <t xml:space="preserve">RENOVACIÓN DE SOPORTE DE LICENCIAS DE SOFTWARE</t>
        </is>
      </c>
      <c r="C178" s="0">
        <v>6</v>
      </c>
      <c r="D178" s="4" t="inlineStr">
        <is>
          <t xml:space="preserve">Software de gestión de licencias</t>
        </is>
      </c>
      <c r="E178" s="4" t="inlineStr">
        <is>
          <t xml:space="preserve">Tecnologías de la información, telecomunicaciones y radiodifusión / Software / Software de gestión</t>
        </is>
      </c>
      <c r="F178" s="0">
        <v>1.0</v>
      </c>
      <c r="G178" s="0" t="inlineStr">
        <is>
          <t xml:space="preserve">Unidad</t>
        </is>
      </c>
      <c r="H178" s="4" t="inlineStr">
        <is>
          <t xml:space="preserve">Línea N°6 Renovación de Suscripción de Licencia Tenable Nessus Expert</t>
        </is>
      </c>
    </row>
    <row r="179">
      <c r="A179" s="0" t="inlineStr">
        <is>
          <t xml:space="preserve">654478-7-LP26</t>
        </is>
      </c>
      <c r="B179" s="4" t="inlineStr">
        <is>
          <t xml:space="preserve">RENOVACIÓN DE SOPORTE DE LICENCIAS DE SOFTWARE</t>
        </is>
      </c>
      <c r="C179" s="0">
        <v>7</v>
      </c>
      <c r="D179" s="4" t="inlineStr">
        <is>
          <t xml:space="preserve">Software de gestión de licencias</t>
        </is>
      </c>
      <c r="E179" s="4" t="inlineStr">
        <is>
          <t xml:space="preserve">Tecnologías de la información, telecomunicaciones y radiodifusión / Software / Software de gestión</t>
        </is>
      </c>
      <c r="F179" s="0">
        <v>1.0</v>
      </c>
      <c r="G179" s="0" t="inlineStr">
        <is>
          <t xml:space="preserve">Unidad</t>
        </is>
      </c>
      <c r="H179" s="4" t="inlineStr">
        <is>
          <t xml:space="preserve">Línea N°7   Renovación de Suscripción y Soporte de Licencias Statistics Smart Pack</t>
        </is>
      </c>
    </row>
    <row r="180">
      <c r="A180" s="0" t="inlineStr">
        <is>
          <t xml:space="preserve">654478-7-LP26</t>
        </is>
      </c>
      <c r="B180" s="4" t="inlineStr">
        <is>
          <t xml:space="preserve">RENOVACIÓN DE SOPORTE DE LICENCIAS DE SOFTWARE</t>
        </is>
      </c>
      <c r="C180" s="0">
        <v>8</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t>
        </is>
      </c>
      <c r="H180" s="4" t="inlineStr">
        <is>
          <t xml:space="preserve">Línea N°8 Renovación de Suscripciones de Licencias Auto CAD LT 2024 Commercial New Single User ELD Annual</t>
        </is>
      </c>
    </row>
    <row r="181">
      <c r="A181" s="0" t="inlineStr">
        <is>
          <t xml:space="preserve">654478-7-LP26</t>
        </is>
      </c>
      <c r="B181" s="4" t="inlineStr">
        <is>
          <t xml:space="preserve">RENOVACIÓN DE SOPORTE DE LICENCIAS DE SOFTWARE</t>
        </is>
      </c>
      <c r="C181" s="0">
        <v>9</v>
      </c>
      <c r="D181" s="4" t="inlineStr">
        <is>
          <t xml:space="preserve">Software de gestión de licencias</t>
        </is>
      </c>
      <c r="E181" s="4" t="inlineStr">
        <is>
          <t xml:space="preserve">Tecnologías de la información, telecomunicaciones y radiodifusión / Software / Software de gestión</t>
        </is>
      </c>
      <c r="F181" s="0">
        <v>1.0</v>
      </c>
      <c r="G181" s="0" t="inlineStr">
        <is>
          <t xml:space="preserve">Unidad</t>
        </is>
      </c>
      <c r="H181" s="4" t="inlineStr">
        <is>
          <t xml:space="preserve">Línea N°9 Renovación de Suscripciones de Licencias Adobe Creative Cloud for Teams All multiple plataforms Multi Latin American Languages Subcription 1 User Level 11-9</t>
        </is>
      </c>
    </row>
    <row r="182">
      <c r="A182" s="0" t="inlineStr">
        <is>
          <t xml:space="preserve">654478-7-LP26</t>
        </is>
      </c>
      <c r="B182" s="4" t="inlineStr">
        <is>
          <t xml:space="preserve">RENOVACIÓN DE SOPORTE DE LICENCIAS DE SOFTWARE</t>
        </is>
      </c>
      <c r="C182" s="0">
        <v>10</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t>
        </is>
      </c>
      <c r="H182" s="4" t="inlineStr">
        <is>
          <t xml:space="preserve">Línea N°10 Renovación y Adquisición de Suscripciones de Licencias Miro Project Planner Business</t>
        </is>
      </c>
    </row>
    <row r="183">
      <c r="A183" s="0" t="inlineStr">
        <is>
          <t xml:space="preserve">654478-7-LP26</t>
        </is>
      </c>
      <c r="B183" s="4" t="inlineStr">
        <is>
          <t xml:space="preserve">RENOVACIÓN DE SOPORTE DE LICENCIAS DE SOFTWARE</t>
        </is>
      </c>
      <c r="C183" s="0">
        <v>11</v>
      </c>
      <c r="D183" s="4" t="inlineStr">
        <is>
          <t xml:space="preserve">Software de gestión de licencias</t>
        </is>
      </c>
      <c r="E183" s="4" t="inlineStr">
        <is>
          <t xml:space="preserve">Tecnologías de la información, telecomunicaciones y radiodifusión / Software / Software de gestión</t>
        </is>
      </c>
      <c r="F183" s="0">
        <v>1.0</v>
      </c>
      <c r="G183" s="0" t="inlineStr">
        <is>
          <t xml:space="preserve">Unidad</t>
        </is>
      </c>
      <c r="H183" s="4" t="inlineStr">
        <is>
          <t xml:space="preserve">Línea N°11 Renovación y Adquisición de Suscripciones de Licencias FIGMA Professional Full Seat</t>
        </is>
      </c>
    </row>
    <row r="184">
      <c r="A184" s="0" t="inlineStr">
        <is>
          <t xml:space="preserve">654478-7-LP26</t>
        </is>
      </c>
      <c r="B184" s="4" t="inlineStr">
        <is>
          <t xml:space="preserve">RENOVACIÓN DE SOPORTE DE LICENCIAS DE SOFTWARE</t>
        </is>
      </c>
      <c r="C184" s="0">
        <v>12</v>
      </c>
      <c r="D184" s="4" t="inlineStr">
        <is>
          <t xml:space="preserve">Software de gestión de licencias</t>
        </is>
      </c>
      <c r="E184" s="4" t="inlineStr">
        <is>
          <t xml:space="preserve">Tecnologías de la información, telecomunicaciones y radiodifusión / Software / Software de gestión</t>
        </is>
      </c>
      <c r="F184" s="0">
        <v>1.0</v>
      </c>
      <c r="G184" s="0" t="inlineStr">
        <is>
          <t xml:space="preserve">Unidad</t>
        </is>
      </c>
      <c r="H184" s="4" t="inlineStr">
        <is>
          <t xml:space="preserve">Línea N°12 Adquisición de Suscripción de Licencia SonarQube Developer Edition</t>
        </is>
      </c>
    </row>
    <row r="185">
      <c r="A185" s="0" t="inlineStr">
        <is>
          <t xml:space="preserve">654478-7-LP26</t>
        </is>
      </c>
      <c r="B185" s="4" t="inlineStr">
        <is>
          <t xml:space="preserve">RENOVACIÓN DE SOPORTE DE LICENCIAS DE SOFTWARE</t>
        </is>
      </c>
      <c r="C185" s="0">
        <v>13</v>
      </c>
      <c r="D185" s="4" t="inlineStr">
        <is>
          <t xml:space="preserve">Software de gestión de licencias</t>
        </is>
      </c>
      <c r="E185" s="4" t="inlineStr">
        <is>
          <t xml:space="preserve">Tecnologías de la información, telecomunicaciones y radiodifusión / Software / Software de gestión</t>
        </is>
      </c>
      <c r="F185" s="0">
        <v>1.0</v>
      </c>
      <c r="G185" s="0" t="inlineStr">
        <is>
          <t xml:space="preserve">Unidad</t>
        </is>
      </c>
      <c r="H185" s="4" t="inlineStr">
        <is>
          <t xml:space="preserve">Línea N°13 Adquisición de Suscripción de Licencias Claude AI Team Standard Seats</t>
        </is>
      </c>
    </row>
    <row r="186">
      <c r="A186" s="0" t="inlineStr">
        <is>
          <t xml:space="preserve">654478-7-LP26</t>
        </is>
      </c>
      <c r="B186" s="4" t="inlineStr">
        <is>
          <t xml:space="preserve">RENOVACIÓN DE SOPORTE DE LICENCIAS DE SOFTWARE</t>
        </is>
      </c>
      <c r="C186" s="0">
        <v>14</v>
      </c>
      <c r="D186" s="4" t="inlineStr">
        <is>
          <t xml:space="preserve">Software de gestión de licencias</t>
        </is>
      </c>
      <c r="E186" s="4" t="inlineStr">
        <is>
          <t xml:space="preserve">Tecnologías de la información, telecomunicaciones y radiodifusión / Software / Software de gestión</t>
        </is>
      </c>
      <c r="F186" s="0">
        <v>1.0</v>
      </c>
      <c r="G186" s="0" t="inlineStr">
        <is>
          <t xml:space="preserve">Unidad</t>
        </is>
      </c>
      <c r="H186" s="4" t="inlineStr">
        <is>
          <t xml:space="preserve">Línea N°14 Adquisición de suscripción de Licencias Claude Max 20x</t>
        </is>
      </c>
    </row>
    <row r="187">
      <c r="A187" s="0" t="inlineStr">
        <is>
          <t xml:space="preserve">4362-31-LP26</t>
        </is>
      </c>
      <c r="B187" s="4" t="inlineStr">
        <is>
          <t xml:space="preserve">Construcción Hitos de Acceso y Tótems Turísticos</t>
        </is>
      </c>
      <c r="C187" s="0">
        <v>1</v>
      </c>
      <c r="D187" s="4" t="inlineStr">
        <is>
          <t xml:space="preserve">Construcción de obras civiles</t>
        </is>
      </c>
      <c r="E187" s="4" t="inlineStr">
        <is>
          <t xml:space="preserve">Servicios de construcción y mantenimiento / Construcción de edificios en general / Construcción de obras civiles y infraestructuras</t>
        </is>
      </c>
      <c r="F187" s="0">
        <v>1.0</v>
      </c>
      <c r="G187" s="0" t="inlineStr">
        <is>
          <t xml:space="preserve">Unidad</t>
        </is>
      </c>
      <c r="H187" s="4" t="inlineStr">
        <is>
          <t xml:space="preserve">.</t>
        </is>
      </c>
    </row>
    <row r="188">
      <c r="A188" s="0" t="inlineStr">
        <is>
          <t xml:space="preserve">4127-51-LR26</t>
        </is>
      </c>
      <c r="B188" s="4" t="inlineStr">
        <is>
          <t xml:space="preserve">[DIGEDEP]Cursos M-Learning Plataforma SIAD 26-27</t>
        </is>
      </c>
      <c r="C188" s="0">
        <v>1</v>
      </c>
      <c r="D188" s="4" t="inlineStr">
        <is>
          <t xml:space="preserve">Capacitación a empleados</t>
        </is>
      </c>
      <c r="E188" s="4" t="inlineStr">
        <is>
          <t xml:space="preserve">Educación, formación, entrenamiento y capacitación / Sistemas educativos complementarios / Educación de adultos</t>
        </is>
      </c>
      <c r="F188" s="0">
        <v>1.0</v>
      </c>
      <c r="G188" s="0" t="inlineStr">
        <is>
          <t xml:space="preserve">Unidad</t>
        </is>
      </c>
      <c r="H188" s="4"/>
    </row>
    <row r="189">
      <c r="A189" s="0" t="inlineStr">
        <is>
          <t xml:space="preserve">1020-54-LP26</t>
        </is>
      </c>
      <c r="B189" s="4" t="inlineStr">
        <is>
          <t xml:space="preserve">Administración y Mantención de Bases de Datos MOP</t>
        </is>
      </c>
      <c r="C189" s="0">
        <v>1</v>
      </c>
      <c r="D189" s="4" t="inlineStr">
        <is>
          <t xml:space="preserve">Administradores de bases de datos</t>
        </is>
      </c>
      <c r="E189" s="4" t="inlineStr">
        <is>
          <t xml:space="preserve">Servicios profesionales, administrativos y consultorías de gestión empresarial / Servicios de recursos humanos / Contratación de personal</t>
        </is>
      </c>
      <c r="F189" s="0">
        <v>24.0</v>
      </c>
      <c r="G189" s="0" t="inlineStr">
        <is>
          <t xml:space="preserve">Mes</t>
        </is>
      </c>
      <c r="H189" s="4" t="inlineStr">
        <is>
          <t xml:space="preserve">SERVICIO DE ADMINISTRACIÓN  Y  MANTENCION DE BASES DE DATOS  ORACLE, MS SQL SERVER, POSTGRESQL y MySQL (24 meses)</t>
        </is>
      </c>
    </row>
    <row r="190">
      <c r="A190" s="0" t="inlineStr">
        <is>
          <t xml:space="preserve">605-17-LP26</t>
        </is>
      </c>
      <c r="B190" s="4" t="inlineStr">
        <is>
          <t xml:space="preserve">TELEFONÍA FIJA Y RED PRIVADA DE DATOS</t>
        </is>
      </c>
      <c r="C190" s="0">
        <v>1</v>
      </c>
      <c r="D190" s="4" t="inlineStr">
        <is>
          <t xml:space="preserve">Servicio telefónico local</t>
        </is>
      </c>
      <c r="E190" s="4" t="inlineStr">
        <is>
          <t xml:space="preserve">Servicios básicos y de información pública / Telecomunicaciones / Telefonía local y de larga distancia</t>
        </is>
      </c>
      <c r="F190" s="0">
        <v>1.0</v>
      </c>
      <c r="G190" s="0" t="inlineStr">
        <is>
          <t xml:space="preserve">Unidad</t>
        </is>
      </c>
      <c r="H190"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91">
      <c r="A191" s="0" t="inlineStr">
        <is>
          <t xml:space="preserve">605-17-LP26</t>
        </is>
      </c>
      <c r="B191" s="4" t="inlineStr">
        <is>
          <t xml:space="preserve">TELEFONÍA FIJA Y RED PRIVADA DE DATOS</t>
        </is>
      </c>
      <c r="C191" s="0">
        <v>2</v>
      </c>
      <c r="D191" s="4" t="inlineStr">
        <is>
          <t xml:space="preserve">Servicio de comunicación IP</t>
        </is>
      </c>
      <c r="E191" s="4" t="inlineStr">
        <is>
          <t xml:space="preserve">Servicios básicos y de información pública / Telecomunicaciones / Telefonía local y de larga distancia</t>
        </is>
      </c>
      <c r="F191" s="0">
        <v>1.0</v>
      </c>
      <c r="G191" s="0" t="inlineStr">
        <is>
          <t xml:space="preserve">Unidad</t>
        </is>
      </c>
      <c r="H191"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92">
      <c r="A192" s="0" t="inlineStr">
        <is>
          <t xml:space="preserve">1113265-17-LE26</t>
        </is>
      </c>
      <c r="B192" s="4" t="inlineStr">
        <is>
          <t xml:space="preserve">PLATAFORMA DE GESTIÓN ESTRATÉGICA</t>
        </is>
      </c>
      <c r="C192" s="0">
        <v>1</v>
      </c>
      <c r="D192" s="4" t="inlineStr">
        <is>
          <t xml:space="preserve">Software del sistema de administración de bases de datos</t>
        </is>
      </c>
      <c r="E192" s="4" t="inlineStr">
        <is>
          <t xml:space="preserve">Tecnologías de la información, telecomunicaciones y radiodifusión / Software / Software de consultas y gestión de datos</t>
        </is>
      </c>
      <c r="F192" s="0">
        <v>1.0</v>
      </c>
      <c r="G192" s="0" t="inlineStr">
        <is>
          <t xml:space="preserve">Unidad</t>
        </is>
      </c>
      <c r="H192" s="4" t="inlineStr">
        <is>
          <t xml:space="preserve">PLATAFORMA DE GESTIÓN ESTRATÉGICA DE LA PERMANENCIA ESTUDIANTIL PARA EL CENTRO DE FORMACIÓN TÉCNICA ESTATAL DE LA REGIÓN DE ANTOFAGASTA</t>
        </is>
      </c>
    </row>
    <row r="193">
      <c r="A193" s="0" t="inlineStr">
        <is>
          <t xml:space="preserve">1177296-25-LP26</t>
        </is>
      </c>
      <c r="B193"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93" s="0">
        <v>1</v>
      </c>
      <c r="D193" s="4" t="inlineStr">
        <is>
          <t xml:space="preserve">Reloj de control</t>
        </is>
      </c>
      <c r="E193" s="4" t="inlineStr">
        <is>
          <t xml:space="preserve">Equipos, accesorios y suministros de oficina / Maquinarias, suministros y accesorios de oficina / Máquinas y accesorios para registro de hora y asistencia en la oficina</t>
        </is>
      </c>
      <c r="F193" s="0">
        <v>1.0</v>
      </c>
      <c r="G193" s="0" t="inlineStr">
        <is>
          <t xml:space="preserve">Global</t>
        </is>
      </c>
      <c r="H193"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94">
      <c r="A194" s="0" t="inlineStr">
        <is>
          <t xml:space="preserve">2421-52-LR26</t>
        </is>
      </c>
      <c r="B194" s="4" t="inlineStr">
        <is>
          <t xml:space="preserve">SUMINISTRO SERVICIO DE TELECOMUNICACIONES DATOS Y VOZ</t>
        </is>
      </c>
      <c r="C194" s="0">
        <v>1</v>
      </c>
      <c r="D194" s="4" t="inlineStr">
        <is>
          <t xml:space="preserve">Servicio telefónico local</t>
        </is>
      </c>
      <c r="E194" s="4" t="inlineStr">
        <is>
          <t xml:space="preserve">Servicios básicos y de información pública / Telecomunicaciones / Telefonía local y de larga distancia</t>
        </is>
      </c>
      <c r="F194" s="0">
        <v>1.0</v>
      </c>
      <c r="G194" s="0" t="inlineStr">
        <is>
          <t xml:space="preserve">Unidad</t>
        </is>
      </c>
      <c r="H194" s="4" t="inlineStr">
        <is>
          <t xml:space="preserve">Valor total neto mensual (sin impuesto) por los servicios de red de datos, Internet en red de datos, sistema de comunicación de voz y otros, según especificaciones técnicas adjuntas (Anexo Nº8). VER FORMATO ANEXO Nº4.</t>
        </is>
      </c>
    </row>
    <row r="195">
      <c r="A195" s="0" t="inlineStr">
        <is>
          <t xml:space="preserve">2421-52-LR26</t>
        </is>
      </c>
      <c r="B195" s="4" t="inlineStr">
        <is>
          <t xml:space="preserve">SUMINISTRO SERVICIO DE TELECOMUNICACIONES DATOS Y VOZ</t>
        </is>
      </c>
      <c r="C195" s="0">
        <v>2</v>
      </c>
      <c r="D195" s="4" t="inlineStr">
        <is>
          <t xml:space="preserve">Servicio telefónico local</t>
        </is>
      </c>
      <c r="E195" s="4" t="inlineStr">
        <is>
          <t xml:space="preserve">Servicios básicos y de información pública / Telecomunicaciones / Telefonía local y de larga distancia</t>
        </is>
      </c>
      <c r="F195" s="0">
        <v>1.0</v>
      </c>
      <c r="G195" s="0" t="inlineStr">
        <is>
          <t xml:space="preserve">Unidad</t>
        </is>
      </c>
      <c r="H195" s="4" t="inlineStr">
        <is>
          <t xml:space="preserve">Valor Total Neto Cobro Inicial correspondiente a la habilitación y puesta en marcha de los Servicios, cobro aplicado por única vez.</t>
        </is>
      </c>
    </row>
    <row r="196">
      <c r="A196" s="0" t="inlineStr">
        <is>
          <t xml:space="preserve">1057390-21-LR26</t>
        </is>
      </c>
      <c r="B196" s="4" t="inlineStr">
        <is>
          <t xml:space="preserve">PLATAFORMA CLOUD COMPUTING Y SERVICIOS ASOCIADOS ESISSAN</t>
        </is>
      </c>
      <c r="C196" s="0">
        <v>1</v>
      </c>
      <c r="D196" s="4" t="inlineStr">
        <is>
          <t xml:space="preserve">Software de interconectividad de plataformas</t>
        </is>
      </c>
      <c r="E196" s="4" t="inlineStr">
        <is>
          <t xml:space="preserve">Tecnologías de la información, telecomunicaciones y radiodifusión / Software / Software para trabajo en redes</t>
        </is>
      </c>
      <c r="F196" s="0">
        <v>1.0</v>
      </c>
      <c r="G196" s="0" t="inlineStr">
        <is>
          <t xml:space="preserve">Unidad</t>
        </is>
      </c>
      <c r="H196" s="4" t="inlineStr">
        <is>
          <t xml:space="preserve">PLATAFORMA CLOUD COMPUTING Y SERVICIOS ASOCIADOS ESISSAN  Total proyecto neto según Anexo 4 Oferta Económica.   (OC se emitiran de acuerdo a la programación)</t>
        </is>
      </c>
    </row>
    <row r="197">
      <c r="A197" s="0" t="inlineStr">
        <is>
          <t xml:space="preserve">1260-17-LP26</t>
        </is>
      </c>
      <c r="B197" s="4" t="inlineStr">
        <is>
          <t xml:space="preserve">NARRATIVAS DIGITALES Y PRODUCCION CONTENIDOS</t>
        </is>
      </c>
      <c r="C197" s="0">
        <v>1</v>
      </c>
      <c r="D197" s="4" t="inlineStr">
        <is>
          <t xml:space="preserve">Agencias de marketing de ventas, incluidas las impresiones</t>
        </is>
      </c>
      <c r="E197" s="4" t="inlineStr">
        <is>
          <t xml:space="preserve">Servicios profesionales, administrativos y consultorías de gestión empresarial / Servicios para la comercialización y distribución / Ventas y marketing</t>
        </is>
      </c>
      <c r="F197" s="0">
        <v>1.0</v>
      </c>
      <c r="G197" s="0" t="inlineStr">
        <is>
          <t xml:space="preserve">Unidad</t>
        </is>
      </c>
      <c r="H197" s="4" t="inlineStr">
        <is>
          <t xml:space="preserve">SERVICIO DE ANÁLISIS DE NARRATIVAS DIGITALES Y PRODUCCIÓN DE CONTENIDOS CREATIVOS. Ver archivos adjuntos RES_EXENTA_N°1419(11-08-2026)_Aprueba Bases.pdf y RESOLUCION_EXENTA_N°1745(06-10-2026)_Modifica REX 1419.pdf</t>
        </is>
      </c>
    </row>
    <row r="198">
      <c r="A198" s="0" t="inlineStr">
        <is>
          <t xml:space="preserve">425-73-LP26</t>
        </is>
      </c>
      <c r="B198" s="4" t="inlineStr">
        <is>
          <t xml:space="preserve">Renovación de licencias de software CISCO</t>
        </is>
      </c>
      <c r="C198" s="0">
        <v>1</v>
      </c>
      <c r="D198" s="4" t="inlineStr">
        <is>
          <t xml:space="preserve">Software de gestión de licencias</t>
        </is>
      </c>
      <c r="E198" s="4" t="inlineStr">
        <is>
          <t xml:space="preserve">Tecnologías de la información, telecomunicaciones y radiodifusión / Software / Software de gestión</t>
        </is>
      </c>
      <c r="F198" s="0">
        <v>5000.0</v>
      </c>
      <c r="G198" s="0" t="inlineStr">
        <is>
          <t xml:space="preserve">Unidad</t>
        </is>
      </c>
      <c r="H198" s="4" t="inlineStr">
        <is>
          <t xml:space="preserve">CISCO ISE Essentials, Valor neto según Formulario Económico N°1 (en caso de discrepancia entre el valor y el Formulario Económico N° 1 primará este último)</t>
        </is>
      </c>
    </row>
    <row r="199">
      <c r="A199" s="0" t="inlineStr">
        <is>
          <t xml:space="preserve">425-73-LP26</t>
        </is>
      </c>
      <c r="B199" s="4" t="inlineStr">
        <is>
          <t xml:space="preserve">Renovación de licencias de software CISCO</t>
        </is>
      </c>
      <c r="C199" s="0">
        <v>2</v>
      </c>
      <c r="D199" s="4" t="inlineStr">
        <is>
          <t xml:space="preserve">Software de gestión de licencias</t>
        </is>
      </c>
      <c r="E199" s="4" t="inlineStr">
        <is>
          <t xml:space="preserve">Tecnologías de la información, telecomunicaciones y radiodifusión / Software / Software de gestión</t>
        </is>
      </c>
      <c r="F199" s="0">
        <v>20000.0</v>
      </c>
      <c r="G199" s="0" t="inlineStr">
        <is>
          <t xml:space="preserve">Unidad</t>
        </is>
      </c>
      <c r="H199" s="4" t="inlineStr">
        <is>
          <t xml:space="preserve">Cisco Secure Network Analytics, Valor neto según Formulario Económico N°1 (en caso de discrepancia entre el valor y el Formulario Económico N° 1 primará este último)</t>
        </is>
      </c>
    </row>
    <row r="200">
      <c r="A200" s="0" t="inlineStr">
        <is>
          <t xml:space="preserve">425-73-LP26</t>
        </is>
      </c>
      <c r="B200" s="4" t="inlineStr">
        <is>
          <t xml:space="preserve">Renovación de licencias de software CISCO</t>
        </is>
      </c>
      <c r="C200" s="0">
        <v>3</v>
      </c>
      <c r="D200" s="4" t="inlineStr">
        <is>
          <t xml:space="preserve">Software de gestión de licencias</t>
        </is>
      </c>
      <c r="E200" s="4" t="inlineStr">
        <is>
          <t xml:space="preserve">Tecnologías de la información, telecomunicaciones y radiodifusión / Software / Software de gestión</t>
        </is>
      </c>
      <c r="F200" s="0">
        <v>11000.0</v>
      </c>
      <c r="G200" s="0" t="inlineStr">
        <is>
          <t xml:space="preserve">Unidad</t>
        </is>
      </c>
      <c r="H200" s="4" t="inlineStr">
        <is>
          <t xml:space="preserve">CISCO ISE Advantage, Valor neto según Formulario Económico N°1 (en caso de discrepancia entre el valor y el Formulario Económico N° 1 primará este último)</t>
        </is>
      </c>
    </row>
    <row r="201">
      <c r="A201" s="0" t="inlineStr">
        <is>
          <t xml:space="preserve">425-73-LP26</t>
        </is>
      </c>
      <c r="B201" s="4" t="inlineStr">
        <is>
          <t xml:space="preserve">Renovación de licencias de software CISCO</t>
        </is>
      </c>
      <c r="C201" s="0">
        <v>4</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Unidad</t>
        </is>
      </c>
      <c r="H201" s="4" t="inlineStr">
        <is>
          <t xml:space="preserve">Threat Intelligence, Valor neto según Formulario Económico N°1 (en caso de discrepancia entre el valor y el Formulario Económico N° 1 primará este último)</t>
        </is>
      </c>
    </row>
    <row r="202">
      <c r="A202" s="0" t="inlineStr">
        <is>
          <t xml:space="preserve">425-73-LP26</t>
        </is>
      </c>
      <c r="B202" s="4" t="inlineStr">
        <is>
          <t xml:space="preserve">Renovación de licencias de software CISCO</t>
        </is>
      </c>
      <c r="C202" s="0">
        <v>5</v>
      </c>
      <c r="D202" s="4" t="inlineStr">
        <is>
          <t xml:space="preserve">Software de gestión de licencias</t>
        </is>
      </c>
      <c r="E202" s="4" t="inlineStr">
        <is>
          <t xml:space="preserve">Tecnologías de la información, telecomunicaciones y radiodifusión / Software / Software de gestión</t>
        </is>
      </c>
      <c r="F202" s="0">
        <v>3000.0</v>
      </c>
      <c r="G202" s="0" t="inlineStr">
        <is>
          <t xml:space="preserve">Unidad</t>
        </is>
      </c>
      <c r="H202" s="4" t="inlineStr">
        <is>
          <t xml:space="preserve">CISCO ISE Premier, Valor neto según Formulario Económico N°1 (en caso de discrepancia entre el valor y el Formulario Económico N° 1 primará este último)</t>
        </is>
      </c>
    </row>
    <row r="203">
      <c r="A203" s="0" t="inlineStr">
        <is>
          <t xml:space="preserve">425-73-LP26</t>
        </is>
      </c>
      <c r="B203" s="4" t="inlineStr">
        <is>
          <t xml:space="preserve">Renovación de licencias de software CISCO</t>
        </is>
      </c>
      <c r="C203" s="0">
        <v>6</v>
      </c>
      <c r="D203" s="4" t="inlineStr">
        <is>
          <t xml:space="preserve">Software de gestión de licencias</t>
        </is>
      </c>
      <c r="E203" s="4" t="inlineStr">
        <is>
          <t xml:space="preserve">Tecnologías de la información, telecomunicaciones y radiodifusión / Software / Software de gestión</t>
        </is>
      </c>
      <c r="F203" s="0">
        <v>2.0</v>
      </c>
      <c r="G203" s="0" t="inlineStr">
        <is>
          <t xml:space="preserve">Unidad</t>
        </is>
      </c>
      <c r="H203" s="4" t="inlineStr">
        <is>
          <t xml:space="preserve">CISCO ISE VM, Valor neto según Formulario Económico N°1 (en caso de discrepancia entre el valor y el Formulario Económico N° 1 primará este último)</t>
        </is>
      </c>
    </row>
    <row r="204">
      <c r="A204" s="0" t="inlineStr">
        <is>
          <t xml:space="preserve">425-73-LP26</t>
        </is>
      </c>
      <c r="B204" s="4" t="inlineStr">
        <is>
          <t xml:space="preserve">Renovación de licencias de software CISCO</t>
        </is>
      </c>
      <c r="C204" s="0">
        <v>7</v>
      </c>
      <c r="D204" s="4" t="inlineStr">
        <is>
          <t xml:space="preserve">Software de gestión de licencias</t>
        </is>
      </c>
      <c r="E204" s="4" t="inlineStr">
        <is>
          <t xml:space="preserve">Tecnologías de la información, telecomunicaciones y radiodifusión / Software / Software de gestión</t>
        </is>
      </c>
      <c r="F204" s="0">
        <v>2700.0</v>
      </c>
      <c r="G204" s="0" t="inlineStr">
        <is>
          <t xml:space="preserve">Unidad</t>
        </is>
      </c>
      <c r="H204" s="4" t="inlineStr">
        <is>
          <t xml:space="preserve">Umbrella SIG Essentials, Valor neto según Formulario Económico N°1 (en caso de discrepancia entre el valor y el Formulario Económico N° 1 primará este último)</t>
        </is>
      </c>
    </row>
    <row r="205">
      <c r="A205" s="0" t="inlineStr">
        <is>
          <t xml:space="preserve">425-73-LP26</t>
        </is>
      </c>
      <c r="B205" s="4" t="inlineStr">
        <is>
          <t xml:space="preserve">Renovación de licencias de software CISCO</t>
        </is>
      </c>
      <c r="C205" s="0">
        <v>8</v>
      </c>
      <c r="D205" s="4" t="inlineStr">
        <is>
          <t xml:space="preserve">Software de gestión de licencias</t>
        </is>
      </c>
      <c r="E205" s="4" t="inlineStr">
        <is>
          <t xml:space="preserve">Tecnologías de la información, telecomunicaciones y radiodifusión / Software / Software de gestión</t>
        </is>
      </c>
      <c r="F205" s="0">
        <v>1.0</v>
      </c>
      <c r="G205" s="0" t="inlineStr">
        <is>
          <t xml:space="preserve">Unidad</t>
        </is>
      </c>
      <c r="H205" s="4" t="inlineStr">
        <is>
          <t xml:space="preserve">FMC v300, Valor neto según Formulario Económico N°1 (en caso de discrepancia entre el valor y el Formulario Económico N° 1 primará este último)</t>
        </is>
      </c>
    </row>
    <row r="206">
      <c r="A206" s="0" t="inlineStr">
        <is>
          <t xml:space="preserve">425-73-LP26</t>
        </is>
      </c>
      <c r="B206" s="4" t="inlineStr">
        <is>
          <t xml:space="preserve">Renovación de licencias de software CISCO</t>
        </is>
      </c>
      <c r="C206" s="0">
        <v>9</v>
      </c>
      <c r="D206" s="4" t="inlineStr">
        <is>
          <t xml:space="preserve">Software de gestión de licencias</t>
        </is>
      </c>
      <c r="E206" s="4" t="inlineStr">
        <is>
          <t xml:space="preserve">Tecnologías de la información, telecomunicaciones y radiodifusión / Software / Software de gestión</t>
        </is>
      </c>
      <c r="F206" s="0">
        <v>2.0</v>
      </c>
      <c r="G206" s="0" t="inlineStr">
        <is>
          <t xml:space="preserve">Unidad</t>
        </is>
      </c>
      <c r="H206" s="4" t="inlineStr">
        <is>
          <t xml:space="preserve">Firepower 4115, Valor neto según Formulario Económico N°1 (en caso de discrepancia entre el valor y el Formulario Económico N° 1 primará este último)</t>
        </is>
      </c>
    </row>
    <row r="207">
      <c r="A207" s="0" t="inlineStr">
        <is>
          <t xml:space="preserve">425-73-LP26</t>
        </is>
      </c>
      <c r="B207" s="4" t="inlineStr">
        <is>
          <t xml:space="preserve">Renovación de licencias de software CISCO</t>
        </is>
      </c>
      <c r="C207" s="0">
        <v>10</v>
      </c>
      <c r="D207" s="4" t="inlineStr">
        <is>
          <t xml:space="preserve">Software de gestión de licencias</t>
        </is>
      </c>
      <c r="E207" s="4" t="inlineStr">
        <is>
          <t xml:space="preserve">Tecnologías de la información, telecomunicaciones y radiodifusión / Software / Software de gestión</t>
        </is>
      </c>
      <c r="F207" s="0">
        <v>3000.0</v>
      </c>
      <c r="G207" s="0" t="inlineStr">
        <is>
          <t xml:space="preserve">Unidad</t>
        </is>
      </c>
      <c r="H207" s="4" t="inlineStr">
        <is>
          <t xml:space="preserve">Cisco Secure Client Premier, Valor neto según Formulario Económico N°1 (en caso de discrepancia entre el valor y el Formulario Económico N° 1 primará este último)</t>
        </is>
      </c>
    </row>
    <row r="208">
      <c r="A208" s="0" t="inlineStr">
        <is>
          <t xml:space="preserve">5240-109-LR26</t>
        </is>
      </c>
      <c r="B208" s="4" t="inlineStr">
        <is>
          <t xml:space="preserve">SOFTWARE USO FORENSE DE EXTRACC. Y ANALIS DE DATOS</t>
        </is>
      </c>
      <c r="C208" s="0">
        <v>1</v>
      </c>
      <c r="D208" s="4" t="inlineStr">
        <is>
          <t xml:space="preserve">Software de extracción de datos</t>
        </is>
      </c>
      <c r="E208" s="4" t="inlineStr">
        <is>
          <t xml:space="preserve">Tecnologías de la información, telecomunicaciones y radiodifusión / Software / Software de consultas y gestión de datos</t>
        </is>
      </c>
      <c r="F208" s="0">
        <v>2.0</v>
      </c>
      <c r="G208" s="0" t="inlineStr">
        <is>
          <t xml:space="preserve">Unidad</t>
        </is>
      </c>
      <c r="H208" s="4" t="inlineStr">
        <is>
          <t xml:space="preserve">LINEA 1: SOFTWARE FORENSE DE EXTRACCIÓN AVANZADO Y ANALISIS DE INFORMACIÓN DIGITAL</t>
        </is>
      </c>
    </row>
    <row r="209">
      <c r="A209" s="0" t="inlineStr">
        <is>
          <t xml:space="preserve">5240-109-LR26</t>
        </is>
      </c>
      <c r="B209" s="4" t="inlineStr">
        <is>
          <t xml:space="preserve">SOFTWARE USO FORENSE DE EXTRACC. Y ANALIS DE DATOS</t>
        </is>
      </c>
      <c r="C209" s="0">
        <v>2</v>
      </c>
      <c r="D209" s="4" t="inlineStr">
        <is>
          <t xml:space="preserve">Software de extracción de datos</t>
        </is>
      </c>
      <c r="E209" s="4" t="inlineStr">
        <is>
          <t xml:space="preserve">Tecnologías de la información, telecomunicaciones y radiodifusión / Software / Software de consultas y gestión de datos</t>
        </is>
      </c>
      <c r="F209" s="0">
        <v>1.0</v>
      </c>
      <c r="G209" s="0" t="inlineStr">
        <is>
          <t xml:space="preserve">Unidad</t>
        </is>
      </c>
      <c r="H209" s="4" t="inlineStr">
        <is>
          <t xml:space="preserve">LINEA 2: SOFTWARE FORENSE PARA RECUPERAR Y REPRODUCIR DISTINTOS FORMATOS DE VIDEO CAPTADOS POR DVR</t>
        </is>
      </c>
    </row>
    <row r="210">
      <c r="A210" s="0" t="inlineStr">
        <is>
          <t xml:space="preserve">5240-109-LR26</t>
        </is>
      </c>
      <c r="B210" s="4" t="inlineStr">
        <is>
          <t xml:space="preserve">SOFTWARE USO FORENSE DE EXTRACC. Y ANALIS DE DATOS</t>
        </is>
      </c>
      <c r="C210" s="0">
        <v>3</v>
      </c>
      <c r="D210" s="4" t="inlineStr">
        <is>
          <t xml:space="preserve">Software de extracción de datos</t>
        </is>
      </c>
      <c r="E210" s="4" t="inlineStr">
        <is>
          <t xml:space="preserve">Tecnologías de la información, telecomunicaciones y radiodifusión / Software / Software de consultas y gestión de datos</t>
        </is>
      </c>
      <c r="F210" s="0">
        <v>3.0</v>
      </c>
      <c r="G210" s="0" t="inlineStr">
        <is>
          <t xml:space="preserve">Unidad</t>
        </is>
      </c>
      <c r="H210" s="4" t="inlineStr">
        <is>
          <t xml:space="preserve">LINEA 3: LICENCIAS FORENSIC TOOL KIT SMS</t>
        </is>
      </c>
    </row>
    <row r="211">
      <c r="A211" s="0" t="inlineStr">
        <is>
          <t xml:space="preserve">5240-109-LR26</t>
        </is>
      </c>
      <c r="B211" s="4" t="inlineStr">
        <is>
          <t xml:space="preserve">SOFTWARE USO FORENSE DE EXTRACC. Y ANALIS DE DATOS</t>
        </is>
      </c>
      <c r="C211" s="0">
        <v>4</v>
      </c>
      <c r="D211" s="4" t="inlineStr">
        <is>
          <t xml:space="preserve">Software de extracción de datos</t>
        </is>
      </c>
      <c r="E211" s="4" t="inlineStr">
        <is>
          <t xml:space="preserve">Tecnologías de la información, telecomunicaciones y radiodifusión / Software / Software de consultas y gestión de datos</t>
        </is>
      </c>
      <c r="F211" s="0">
        <v>1.0</v>
      </c>
      <c r="G211" s="0" t="inlineStr">
        <is>
          <t xml:space="preserve">Unidad</t>
        </is>
      </c>
      <c r="H211" s="4" t="inlineStr">
        <is>
          <t xml:space="preserve">LINEA 4: LICENCIA ENCASE FORENSIC MAINTENANCE</t>
        </is>
      </c>
    </row>
    <row r="212">
      <c r="A212" s="0" t="inlineStr">
        <is>
          <t xml:space="preserve">5240-109-LR26</t>
        </is>
      </c>
      <c r="B212" s="4" t="inlineStr">
        <is>
          <t xml:space="preserve">SOFTWARE USO FORENSE DE EXTRACC. Y ANALIS DE DATOS</t>
        </is>
      </c>
      <c r="C212" s="0">
        <v>5</v>
      </c>
      <c r="D212" s="4" t="inlineStr">
        <is>
          <t xml:space="preserve">Software de extracción de datos</t>
        </is>
      </c>
      <c r="E212" s="4" t="inlineStr">
        <is>
          <t xml:space="preserve">Tecnologías de la información, telecomunicaciones y radiodifusión / Software / Software de consultas y gestión de datos</t>
        </is>
      </c>
      <c r="F212" s="0">
        <v>1.0</v>
      </c>
      <c r="G212" s="0" t="inlineStr">
        <is>
          <t xml:space="preserve">Unidad</t>
        </is>
      </c>
      <c r="H212" s="4" t="inlineStr">
        <is>
          <t xml:space="preserve">LINEA 5: LICENCIAS FORENSIC TOOL KIT SMS (RANCAGUA)</t>
        </is>
      </c>
    </row>
    <row r="213">
      <c r="A213" s="0" t="inlineStr">
        <is>
          <t xml:space="preserve">5240-109-LR26</t>
        </is>
      </c>
      <c r="B213" s="4" t="inlineStr">
        <is>
          <t xml:space="preserve">SOFTWARE USO FORENSE DE EXTRACC. Y ANALIS DE DATOS</t>
        </is>
      </c>
      <c r="C213" s="0">
        <v>6</v>
      </c>
      <c r="D213" s="4" t="inlineStr">
        <is>
          <t xml:space="preserve">Software de extracción de datos</t>
        </is>
      </c>
      <c r="E213" s="4" t="inlineStr">
        <is>
          <t xml:space="preserve">Tecnologías de la información, telecomunicaciones y radiodifusión / Software / Software de consultas y gestión de datos</t>
        </is>
      </c>
      <c r="F213" s="0">
        <v>1.0</v>
      </c>
      <c r="G213" s="0" t="inlineStr">
        <is>
          <t xml:space="preserve">Unidad</t>
        </is>
      </c>
      <c r="H213" s="4" t="inlineStr">
        <is>
          <t xml:space="preserve">LINEA 6: SOFTWARE FORENSE DE EXTRACCIÓN AVANZADO Y ANALISIS DE INFORMACIÓN DIGITAL (RANCAGUA)</t>
        </is>
      </c>
    </row>
    <row r="214">
      <c r="A214" s="0" t="inlineStr">
        <is>
          <t xml:space="preserve">5240-109-LR26</t>
        </is>
      </c>
      <c r="B214" s="4" t="inlineStr">
        <is>
          <t xml:space="preserve">SOFTWARE USO FORENSE DE EXTRACC. Y ANALIS DE DATOS</t>
        </is>
      </c>
      <c r="C214" s="0">
        <v>7</v>
      </c>
      <c r="D214" s="4" t="inlineStr">
        <is>
          <t xml:space="preserve">Software de extracción de datos</t>
        </is>
      </c>
      <c r="E214" s="4" t="inlineStr">
        <is>
          <t xml:space="preserve">Tecnologías de la información, telecomunicaciones y radiodifusión / Software / Software de consultas y gestión de datos</t>
        </is>
      </c>
      <c r="F214" s="0">
        <v>1.0</v>
      </c>
      <c r="G214" s="0" t="inlineStr">
        <is>
          <t xml:space="preserve">Unidad</t>
        </is>
      </c>
      <c r="H214" s="4" t="inlineStr">
        <is>
          <t xml:space="preserve">LINEA 7: SOFTWARE FORENSE DE EXTRACCIÓN AVANZADO Y ANALISIS DE INFORMACIÓN DIGITAL (TALCA)</t>
        </is>
      </c>
    </row>
    <row r="215">
      <c r="A215" s="0" t="inlineStr">
        <is>
          <t xml:space="preserve">5240-109-LR26</t>
        </is>
      </c>
      <c r="B215" s="4" t="inlineStr">
        <is>
          <t xml:space="preserve">SOFTWARE USO FORENSE DE EXTRACC. Y ANALIS DE DATOS</t>
        </is>
      </c>
      <c r="C215" s="0">
        <v>8</v>
      </c>
      <c r="D215" s="4" t="inlineStr">
        <is>
          <t xml:space="preserve">Software de extracción de datos</t>
        </is>
      </c>
      <c r="E215" s="4" t="inlineStr">
        <is>
          <t xml:space="preserve">Tecnologías de la información, telecomunicaciones y radiodifusión / Software / Software de consultas y gestión de datos</t>
        </is>
      </c>
      <c r="F215" s="0">
        <v>1.0</v>
      </c>
      <c r="G215" s="0" t="inlineStr">
        <is>
          <t xml:space="preserve">Unidad</t>
        </is>
      </c>
      <c r="H215" s="4" t="inlineStr">
        <is>
          <t xml:space="preserve">LINEA 8: SOFTWARE FORENSE DE EXTRACCIÓN AVANZADO Y ANALISIS DE INFORMACIÓN DIGITAL (VALDIVIA)</t>
        </is>
      </c>
    </row>
    <row r="216">
      <c r="A216" s="0" t="inlineStr">
        <is>
          <t xml:space="preserve">5240-109-LR26</t>
        </is>
      </c>
      <c r="B216" s="4" t="inlineStr">
        <is>
          <t xml:space="preserve">SOFTWARE USO FORENSE DE EXTRACC. Y ANALIS DE DATOS</t>
        </is>
      </c>
      <c r="C216" s="0">
        <v>9</v>
      </c>
      <c r="D216" s="4" t="inlineStr">
        <is>
          <t xml:space="preserve">Software de extracción de datos</t>
        </is>
      </c>
      <c r="E216" s="4" t="inlineStr">
        <is>
          <t xml:space="preserve">Tecnologías de la información, telecomunicaciones y radiodifusión / Software / Software de consultas y gestión de datos</t>
        </is>
      </c>
      <c r="F216" s="0">
        <v>1.0</v>
      </c>
      <c r="G216" s="0" t="inlineStr">
        <is>
          <t xml:space="preserve">Unidad</t>
        </is>
      </c>
      <c r="H216" s="4" t="inlineStr">
        <is>
          <t xml:space="preserve">LINEA 9: SOFTWARE FORENSE DE EXTRACCIÓN AVANZADO Y ANALISIS DE INFORMACIÓN DIGITAL (PUERTO MONTT)</t>
        </is>
      </c>
    </row>
    <row r="217">
      <c r="A217" s="0" t="inlineStr">
        <is>
          <t xml:space="preserve">1057898-85-LR26</t>
        </is>
      </c>
      <c r="B217" s="4" t="inlineStr">
        <is>
          <t xml:space="preserve">ADQUISICIÓN DE SOFTWARES HIS-ESB-BI Y ERP PARA EL NUEVO HOSPITAL REGIONAL DE ÑUBLE</t>
        </is>
      </c>
      <c r="C217" s="0">
        <v>1</v>
      </c>
      <c r="D217" s="4" t="inlineStr">
        <is>
          <t xml:space="preserve">Software de administración</t>
        </is>
      </c>
      <c r="E217" s="4" t="inlineStr">
        <is>
          <t xml:space="preserve">Tecnologías de la información, telecomunicaciones y radiodifusión / Software / Software de administración de redes</t>
        </is>
      </c>
      <c r="F217" s="0">
        <v>1.0</v>
      </c>
      <c r="G217" s="0" t="inlineStr">
        <is>
          <t xml:space="preserve">Global</t>
        </is>
      </c>
      <c r="H217" s="4" t="inlineStr">
        <is>
          <t xml:space="preserve">FAMILIA N°1: SISTEMAS 1 PAQUETIZADO SOFTWARE PRINCIPAL(SOFTWARE COMO SERVICIO)</t>
        </is>
      </c>
    </row>
    <row r="218">
      <c r="A218" s="0" t="inlineStr">
        <is>
          <t xml:space="preserve">1057898-85-LR26</t>
        </is>
      </c>
      <c r="B218" s="4" t="inlineStr">
        <is>
          <t xml:space="preserve">ADQUISICIÓN DE SOFTWARES HIS-ESB-BI Y ERP PARA EL NUEVO HOSPITAL REGIONAL DE ÑUBLE</t>
        </is>
      </c>
      <c r="C218" s="0">
        <v>2</v>
      </c>
      <c r="D218" s="4" t="inlineStr">
        <is>
          <t xml:space="preserve">Software de administración</t>
        </is>
      </c>
      <c r="E218" s="4" t="inlineStr">
        <is>
          <t xml:space="preserve">Tecnologías de la información, telecomunicaciones y radiodifusión / Software / Software de administración de redes</t>
        </is>
      </c>
      <c r="F218" s="0">
        <v>1.0</v>
      </c>
      <c r="G218" s="0" t="inlineStr">
        <is>
          <t xml:space="preserve">Global</t>
        </is>
      </c>
      <c r="H218" s="4" t="inlineStr">
        <is>
          <t xml:space="preserve">FAMILIA N°2: SISTEMAS 2 SISTEMA ERP (SOFTWARE COMO SERVICIO)</t>
        </is>
      </c>
    </row>
    <row r="219">
      <c r="A219" s="0" t="inlineStr">
        <is>
          <t xml:space="preserve">1969-34-LS19</t>
        </is>
      </c>
      <c r="B219" s="4" t="inlineStr">
        <is>
          <t xml:space="preserve">AUTOMATIZACIÓN PORTÓN ACCESO A LINEA DE FUEGO</t>
        </is>
      </c>
      <c r="C219" s="0">
        <v>1</v>
      </c>
      <c r="D219" s="4" t="inlineStr">
        <is>
          <t xml:space="preserve">Puertas de metal</t>
        </is>
      </c>
      <c r="E219" s="4" t="inlineStr">
        <is>
          <t xml:space="preserve">Artículos para estructuras, obras y construcciones / Puertas, ventanas y vidrios / Puertas</t>
        </is>
      </c>
      <c r="F219" s="0">
        <v>1.0</v>
      </c>
      <c r="G219" s="0" t="inlineStr">
        <is>
          <t xml:space="preserve">Unidad</t>
        </is>
      </c>
      <c r="H219" s="4" t="inlineStr">
        <is>
          <t xml:space="preserve">AUTOMATIZACIÓN DE PORTÓN ACCESO A LINEA DE FUEGO C.P. CONCEPCIÓN</t>
        </is>
      </c>
    </row>
  </sheetData>
  <autoFilter ref="A1:H219"/>
</worksheet>
</file>